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A-1" sheetId="2" state="visible" r:id="rId2"/>
    <sheet xmlns:r="http://schemas.openxmlformats.org/officeDocument/2006/relationships" name="A-2" sheetId="3" state="visible" r:id="rId3"/>
    <sheet xmlns:r="http://schemas.openxmlformats.org/officeDocument/2006/relationships" name="B-1" sheetId="4" state="visible" r:id="rId4"/>
    <sheet xmlns:r="http://schemas.openxmlformats.org/officeDocument/2006/relationships" name="B-2" sheetId="5" state="visible" r:id="rId5"/>
    <sheet xmlns:r="http://schemas.openxmlformats.org/officeDocument/2006/relationships" name="C-1" sheetId="6" state="visible" r:id="rId6"/>
    <sheet xmlns:r="http://schemas.openxmlformats.org/officeDocument/2006/relationships" name="C-2" sheetId="7" state="visible" r:id="rId7"/>
    <sheet xmlns:r="http://schemas.openxmlformats.org/officeDocument/2006/relationships" name="C-3" sheetId="8" state="visible" r:id="rId8"/>
    <sheet xmlns:r="http://schemas.openxmlformats.org/officeDocument/2006/relationships" name="D-1" sheetId="9" state="visible" r:id="rId9"/>
    <sheet xmlns:r="http://schemas.openxmlformats.org/officeDocument/2006/relationships" name="D-2" sheetId="10" state="visible" r:id="rId10"/>
    <sheet xmlns:r="http://schemas.openxmlformats.org/officeDocument/2006/relationships" name="E-1" sheetId="11" state="visible" r:id="rId11"/>
    <sheet xmlns:r="http://schemas.openxmlformats.org/officeDocument/2006/relationships" name="F-1" sheetId="12" state="visible" r:id="rId12"/>
    <sheet xmlns:r="http://schemas.openxmlformats.org/officeDocument/2006/relationships" name="R-1" sheetId="13" state="visible" r:id="rId13"/>
  </sheets>
  <definedNames>
    <definedName name="_xlnm.Print_Titles" localSheetId="1">'A-1'!$8:$8</definedName>
    <definedName name="_xlnm.Print_Titles" localSheetId="2">'A-2'!$8:$8</definedName>
    <definedName name="_xlnm.Print_Titles" localSheetId="3">'B-1'!$8:$8</definedName>
    <definedName name="_xlnm.Print_Titles" localSheetId="4">'B-2'!$8:$8</definedName>
    <definedName name="_xlnm.Print_Titles" localSheetId="5">'C-1'!$8:$8</definedName>
    <definedName name="_xlnm.Print_Titles" localSheetId="6">'C-2'!$8:$8</definedName>
    <definedName name="_xlnm.Print_Titles" localSheetId="7">'C-3'!$8:$8</definedName>
    <definedName name="_xlnm.Print_Titles" localSheetId="8">'D-1'!$8:$8</definedName>
    <definedName name="_xlnm.Print_Titles" localSheetId="9">'D-2'!$8:$8</definedName>
    <definedName name="_xlnm.Print_Titles" localSheetId="10">'E-1'!$8:$8</definedName>
    <definedName name="_xlnm.Print_Titles" localSheetId="11">'F-1'!$8:$8</definedName>
    <definedName name="_xlnm.Print_Titles" localSheetId="12">'R-1'!$8:$8</definedName>
  </definedNames>
  <calcPr calcId="124519" fullCalcOnLoad="1"/>
</workbook>
</file>

<file path=xl/styles.xml><?xml version="1.0" encoding="utf-8"?>
<styleSheet xmlns="http://schemas.openxmlformats.org/spreadsheetml/2006/main">
  <numFmts count="4">
    <numFmt numFmtId="164" formatCode="yyyy-mm-dd h:mm:ss"/>
    <numFmt numFmtId="165" formatCode="mm/dd/yyyy"/>
    <numFmt numFmtId="166" formatCode="#,##0.00;[Red](#,##0.00);&quot;-&quot;"/>
    <numFmt numFmtId="167" formatCode="0.0"/>
  </numFmts>
  <fonts count="12">
    <font>
      <name val="Calibri"/>
      <family val="2"/>
      <color theme="1"/>
      <sz val="11"/>
      <scheme val="minor"/>
    </font>
    <font>
      <name val="Calibri"/>
      <b val="1"/>
      <color rgb="00918E81"/>
      <sz val="10"/>
    </font>
    <font>
      <name val="Cambria"/>
      <b val="1"/>
      <color rgb="001D2844"/>
      <sz val="15"/>
    </font>
    <font>
      <name val="Calibri"/>
      <color rgb="00918E81"/>
      <sz val="9"/>
    </font>
    <font>
      <name val="Calibri"/>
      <sz val="10"/>
    </font>
    <font>
      <name val="Calibri"/>
      <color rgb="00374151"/>
      <sz val="10"/>
    </font>
    <font>
      <name val="Calibri"/>
      <b val="1"/>
      <color rgb="00FFFFFF"/>
      <sz val="10"/>
    </font>
    <font>
      <name val="Calibri"/>
      <i val="1"/>
      <color rgb="007A7A7A"/>
      <sz val="10"/>
    </font>
    <font>
      <name val="Calibri"/>
      <b val="1"/>
      <sz val="10"/>
    </font>
    <font>
      <name val="Calibri"/>
      <b val="1"/>
      <color rgb="001D2844"/>
    </font>
    <font>
      <name val="Cambria"/>
      <b val="1"/>
      <color rgb="001D2844"/>
      <sz val="18"/>
    </font>
    <font>
      <name val="Calibri"/>
      <b val="1"/>
      <color rgb="00246094"/>
      <sz val="10"/>
      <u val="single"/>
    </font>
  </fonts>
  <fills count="6">
    <fill>
      <patternFill/>
    </fill>
    <fill>
      <patternFill patternType="gray125"/>
    </fill>
    <fill>
      <patternFill patternType="solid">
        <fgColor rgb="00F2F7FC"/>
      </patternFill>
    </fill>
    <fill>
      <patternFill patternType="solid">
        <fgColor rgb="00F7F7F5"/>
      </patternFill>
    </fill>
    <fill>
      <patternFill patternType="solid">
        <fgColor rgb="001D2844"/>
      </patternFill>
    </fill>
    <fill>
      <patternFill patternType="solid">
        <fgColor rgb="00E8EFF6"/>
      </patternFill>
    </fill>
  </fills>
  <borders count="2">
    <border>
      <left/>
      <right/>
      <top/>
      <bottom/>
      <diagonal/>
    </border>
    <border>
      <left style="thin">
        <color rgb="00C5D4E3"/>
      </left>
      <right style="thin">
        <color rgb="00C5D4E3"/>
      </right>
      <top style="thin">
        <color rgb="00C5D4E3"/>
      </top>
      <bottom style="thin">
        <color rgb="00C5D4E3"/>
      </bottom>
    </border>
  </borders>
  <cellStyleXfs count="1">
    <xf numFmtId="0" fontId="0" fillId="0" borderId="0"/>
  </cellStyleXfs>
  <cellXfs count="34">
    <xf numFmtId="0" fontId="0" fillId="0" borderId="0" pivotButton="0" quotePrefix="0" xfId="0"/>
    <xf numFmtId="0" fontId="10" fillId="0" borderId="0" pivotButton="0" quotePrefix="0" xfId="0"/>
    <xf numFmtId="0" fontId="3" fillId="0" borderId="0" pivotButton="0" quotePrefix="0" xfId="0"/>
    <xf numFmtId="0" fontId="8" fillId="0" borderId="1" applyAlignment="1" pivotButton="0" quotePrefix="0" xfId="0">
      <alignment vertical="top" wrapText="1"/>
    </xf>
    <xf numFmtId="0" fontId="4" fillId="2" borderId="1" applyAlignment="1" pivotButton="0" quotePrefix="0" xfId="0">
      <alignment vertical="top" wrapText="1"/>
    </xf>
    <xf numFmtId="0" fontId="6" fillId="4" borderId="1" applyAlignment="1" pivotButton="0" quotePrefix="0" xfId="0">
      <alignment vertical="top" wrapText="1"/>
    </xf>
    <xf numFmtId="0" fontId="11" fillId="0" borderId="1" applyAlignment="1" pivotButton="0" quotePrefix="0" xfId="0">
      <alignment vertical="top" wrapText="1"/>
    </xf>
    <xf numFmtId="0" fontId="4" fillId="0" borderId="1" applyAlignment="1" pivotButton="0" quotePrefix="0" xfId="0">
      <alignment vertical="top" wrapText="1"/>
    </xf>
    <xf numFmtId="0" fontId="9" fillId="0" borderId="0" pivotButton="0" quotePrefix="0" xfId="0"/>
    <xf numFmtId="0" fontId="4" fillId="5" borderId="1" applyAlignment="1" pivotButton="0" quotePrefix="0" xfId="0">
      <alignment vertical="top" wrapText="1"/>
    </xf>
    <xf numFmtId="0" fontId="7" fillId="0" borderId="0" pivotButton="0" quotePrefix="0" xfId="0"/>
    <xf numFmtId="0" fontId="8" fillId="0" borderId="1" applyAlignment="1" pivotButton="0" quotePrefix="0" xfId="0">
      <alignment horizontal="center" vertical="top" wrapText="1"/>
    </xf>
    <xf numFmtId="0" fontId="1" fillId="0" borderId="0" pivotButton="0" quotePrefix="0" xfId="0"/>
    <xf numFmtId="0" fontId="3" fillId="0" borderId="0" applyAlignment="1" pivotButton="0" quotePrefix="0" xfId="0">
      <alignment horizontal="right"/>
    </xf>
    <xf numFmtId="0" fontId="2" fillId="0" borderId="0" pivotButton="0" quotePrefix="0" xfId="0"/>
    <xf numFmtId="0" fontId="5" fillId="3" borderId="0" applyAlignment="1" pivotButton="0" quotePrefix="0" xfId="0">
      <alignment vertical="top" wrapText="1"/>
    </xf>
    <xf numFmtId="1" fontId="7" fillId="2" borderId="1" applyAlignment="1" pivotButton="0" quotePrefix="0" xfId="0">
      <alignment horizontal="right" vertical="top" wrapText="1"/>
    </xf>
    <xf numFmtId="0" fontId="7" fillId="2" borderId="1" applyAlignment="1" pivotButton="0" quotePrefix="0" xfId="0">
      <alignment vertical="top" wrapText="1"/>
    </xf>
    <xf numFmtId="1" fontId="4" fillId="2" borderId="1" applyAlignment="1" pivotButton="0" quotePrefix="0" xfId="0">
      <alignment horizontal="right" vertical="top" wrapText="1"/>
    </xf>
    <xf numFmtId="165" fontId="7" fillId="2" borderId="1" applyAlignment="1" pivotButton="0" quotePrefix="0" xfId="0">
      <alignment vertical="top" wrapText="1"/>
    </xf>
    <xf numFmtId="165" fontId="4" fillId="2" borderId="1" applyAlignment="1" pivotButton="0" quotePrefix="0" xfId="0">
      <alignment vertical="top" wrapText="1"/>
    </xf>
    <xf numFmtId="166" fontId="7" fillId="2" borderId="1" applyAlignment="1" pivotButton="0" quotePrefix="0" xfId="0">
      <alignment horizontal="right" vertical="top" wrapText="1"/>
    </xf>
    <xf numFmtId="166" fontId="7" fillId="0" borderId="1" applyAlignment="1" pivotButton="0" quotePrefix="0" xfId="0">
      <alignment horizontal="right" vertical="top" wrapText="1"/>
    </xf>
    <xf numFmtId="0" fontId="7" fillId="0" borderId="1" applyAlignment="1" pivotButton="0" quotePrefix="0" xfId="0">
      <alignment vertical="top" wrapText="1"/>
    </xf>
    <xf numFmtId="166" fontId="4" fillId="2" borderId="1" applyAlignment="1" pivotButton="0" quotePrefix="0" xfId="0">
      <alignment horizontal="right" vertical="top" wrapText="1"/>
    </xf>
    <xf numFmtId="166" fontId="4" fillId="0" borderId="1" applyAlignment="1" pivotButton="0" quotePrefix="0" xfId="0">
      <alignment horizontal="right" vertical="top" wrapText="1"/>
    </xf>
    <xf numFmtId="0" fontId="8" fillId="5" borderId="1" applyAlignment="1" pivotButton="0" quotePrefix="0" xfId="0">
      <alignment vertical="top" wrapText="1"/>
    </xf>
    <xf numFmtId="166" fontId="8" fillId="5" borderId="1" applyAlignment="1" pivotButton="0" quotePrefix="0" xfId="0">
      <alignment horizontal="right" vertical="top" wrapText="1"/>
    </xf>
    <xf numFmtId="166" fontId="4" fillId="5" borderId="1" applyAlignment="1" pivotButton="0" quotePrefix="0" xfId="0">
      <alignment horizontal="right" vertical="top" wrapText="1"/>
    </xf>
    <xf numFmtId="1" fontId="7" fillId="0" borderId="1" applyAlignment="1" pivotButton="0" quotePrefix="0" xfId="0">
      <alignment horizontal="right" vertical="top" wrapText="1"/>
    </xf>
    <xf numFmtId="1" fontId="4" fillId="0" borderId="1" applyAlignment="1" pivotButton="0" quotePrefix="0" xfId="0">
      <alignment horizontal="right" vertical="top" wrapText="1"/>
    </xf>
    <xf numFmtId="167" fontId="4" fillId="2" borderId="1" applyAlignment="1" pivotButton="0" quotePrefix="0" xfId="0">
      <alignment horizontal="right" vertical="top" wrapText="1"/>
    </xf>
    <xf numFmtId="1" fontId="8" fillId="5" borderId="1" applyAlignment="1" pivotButton="0" quotePrefix="0" xfId="0">
      <alignment horizontal="right" vertical="top" wrapText="1"/>
    </xf>
    <xf numFmtId="9" fontId="8" fillId="5"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1'!A1" TargetMode="External" Id="rId1"/><Relationship Type="http://schemas.openxmlformats.org/officeDocument/2006/relationships/hyperlink" Target="#'A-2'!A1" TargetMode="External" Id="rId2"/><Relationship Type="http://schemas.openxmlformats.org/officeDocument/2006/relationships/hyperlink" Target="#'B-1'!A1" TargetMode="External" Id="rId3"/><Relationship Type="http://schemas.openxmlformats.org/officeDocument/2006/relationships/hyperlink" Target="#'B-2'!A1" TargetMode="External" Id="rId4"/><Relationship Type="http://schemas.openxmlformats.org/officeDocument/2006/relationships/hyperlink" Target="#'C-1'!A1" TargetMode="External" Id="rId5"/><Relationship Type="http://schemas.openxmlformats.org/officeDocument/2006/relationships/hyperlink" Target="#'C-2'!A1" TargetMode="External" Id="rId6"/><Relationship Type="http://schemas.openxmlformats.org/officeDocument/2006/relationships/hyperlink" Target="#'C-3'!A1" TargetMode="External" Id="rId7"/><Relationship Type="http://schemas.openxmlformats.org/officeDocument/2006/relationships/hyperlink" Target="#'D-1'!A1" TargetMode="External" Id="rId8"/><Relationship Type="http://schemas.openxmlformats.org/officeDocument/2006/relationships/hyperlink" Target="#'D-2'!A1" TargetMode="External" Id="rId9"/><Relationship Type="http://schemas.openxmlformats.org/officeDocument/2006/relationships/hyperlink" Target="#'E-1'!A1" TargetMode="External" Id="rId10"/><Relationship Type="http://schemas.openxmlformats.org/officeDocument/2006/relationships/hyperlink" Target="#'F-1'!A1" TargetMode="External" Id="rId11"/><Relationship Type="http://schemas.openxmlformats.org/officeDocument/2006/relationships/hyperlink" Target="#'R-1'!A1" TargetMode="External" Id="rId12"/></Relationships>
</file>

<file path=xl/worksheets/sheet1.xml><?xml version="1.0" encoding="utf-8"?>
<worksheet xmlns="http://schemas.openxmlformats.org/spreadsheetml/2006/main">
  <sheetPr>
    <tabColor rgb="001D2844"/>
    <outlinePr summaryBelow="1" summaryRight="1"/>
    <pageSetUpPr fitToPage="1"/>
  </sheetPr>
  <dimension ref="A1:E36"/>
  <sheetViews>
    <sheetView showGridLines="0" workbookViewId="0">
      <pane ySplit="11" topLeftCell="A12" activePane="bottomLeft" state="frozen"/>
      <selection pane="bottomLeft" activeCell="A1" sqref="A1"/>
    </sheetView>
  </sheetViews>
  <sheetFormatPr baseColWidth="8" defaultRowHeight="15"/>
  <cols>
    <col width="8" customWidth="1" min="1" max="1"/>
    <col width="34" customWidth="1" min="2" max="2"/>
    <col width="80" customWidth="1" min="3" max="3"/>
    <col width="18" customWidth="1" min="4" max="4"/>
    <col width="18" customWidth="1" min="5" max="5"/>
  </cols>
  <sheetData>
    <row r="1">
      <c r="A1" s="1" t="inlineStr">
        <is>
          <t>Forensic Accounting Workpapers</t>
        </is>
      </c>
    </row>
    <row r="2">
      <c r="A2" s="2" t="inlineStr">
        <is>
          <t>Template from the Bank Statement Analyzer · Justice for Fraud Victims Project · Apache 2.0</t>
        </is>
      </c>
    </row>
    <row r="4">
      <c r="B4" s="3" t="inlineStr">
        <is>
          <t>Case name</t>
        </is>
      </c>
      <c r="C4" s="4" t="n"/>
      <c r="D4" s="4" t="n"/>
      <c r="E4" s="4" t="n"/>
    </row>
    <row r="5">
      <c r="B5" s="3" t="inlineStr">
        <is>
          <t>Client</t>
        </is>
      </c>
      <c r="C5" s="4" t="n"/>
      <c r="D5" s="4" t="n"/>
      <c r="E5" s="4" t="n"/>
    </row>
    <row r="6">
      <c r="B6" s="3" t="inlineStr">
        <is>
          <t>Engagement / matter no.</t>
        </is>
      </c>
      <c r="C6" s="4" t="n"/>
      <c r="D6" s="4" t="n"/>
      <c r="E6" s="4" t="n"/>
    </row>
    <row r="7">
      <c r="B7" s="3" t="inlineStr">
        <is>
          <t>Period examined</t>
        </is>
      </c>
      <c r="C7" s="4" t="n"/>
      <c r="D7" s="4" t="n"/>
      <c r="E7" s="4" t="n"/>
    </row>
    <row r="8">
      <c r="B8" s="3" t="inlineStr">
        <is>
          <t>Prepared by</t>
        </is>
      </c>
      <c r="C8" s="4" t="n"/>
      <c r="D8" s="4" t="n"/>
      <c r="E8" s="4" t="n"/>
    </row>
    <row r="9">
      <c r="B9" s="3" t="inlineStr">
        <is>
          <t>Reviewed by</t>
        </is>
      </c>
      <c r="C9" s="4" t="n"/>
      <c r="D9" s="4" t="n"/>
      <c r="E9" s="4" t="n"/>
    </row>
    <row r="11">
      <c r="A11" s="5" t="inlineStr">
        <is>
          <t>Ref</t>
        </is>
      </c>
      <c r="B11" s="5" t="inlineStr">
        <is>
          <t>Workpaper</t>
        </is>
      </c>
      <c r="C11" s="5" t="inlineStr">
        <is>
          <t>What it is for</t>
        </is>
      </c>
      <c r="D11" s="5" t="inlineStr">
        <is>
          <t>Prepared (initials / date)</t>
        </is>
      </c>
      <c r="E11" s="5" t="inlineStr">
        <is>
          <t>Reviewed (initials / date)</t>
        </is>
      </c>
    </row>
    <row r="12">
      <c r="A12" s="6" t="inlineStr">
        <is>
          <t>A-1</t>
        </is>
      </c>
      <c r="B12" s="3" t="inlineStr">
        <is>
          <t>Scope and questions</t>
        </is>
      </c>
      <c r="C12" s="7" t="inlineStr">
        <is>
          <t>List each question the client asked (from the engagement letter), in their words.</t>
        </is>
      </c>
      <c r="D12" s="4" t="n"/>
      <c r="E12" s="4" t="n"/>
    </row>
    <row r="13">
      <c r="A13" s="6" t="inlineStr">
        <is>
          <t>A-2</t>
        </is>
      </c>
      <c r="B13" s="3" t="inlineStr">
        <is>
          <t>Document index</t>
        </is>
      </c>
      <c r="C13" s="7" t="inlineStr">
        <is>
          <t>Every document received, when and from whom.</t>
        </is>
      </c>
      <c r="D13" s="4" t="n"/>
      <c r="E13" s="4" t="n"/>
    </row>
    <row r="14">
      <c r="A14" s="6" t="inlineStr">
        <is>
          <t>B-1</t>
        </is>
      </c>
      <c r="B14" s="3" t="inlineStr">
        <is>
          <t>Bank reconciliation (proof of each statement)</t>
        </is>
      </c>
      <c r="C14" s="7" t="inlineStr">
        <is>
          <t>Prove each statement before relying on it: beginning balance + deposits - withdrawals should equal the ending balance the bank printed.</t>
        </is>
      </c>
      <c r="D14" s="4" t="n"/>
      <c r="E14" s="4" t="n"/>
    </row>
    <row r="15">
      <c r="A15" s="6" t="inlineStr">
        <is>
          <t>B-2</t>
        </is>
      </c>
      <c r="B15" s="3" t="inlineStr">
        <is>
          <t>Sources and uses of funds</t>
        </is>
      </c>
      <c r="C15" s="7" t="inlineStr">
        <is>
          <t>One account per block (copy the block for each account).</t>
        </is>
      </c>
      <c r="D15" s="4" t="n"/>
      <c r="E15" s="4" t="n"/>
    </row>
    <row r="16">
      <c r="A16" s="6" t="inlineStr">
        <is>
          <t>C-1</t>
        </is>
      </c>
      <c r="B16" s="3" t="inlineStr">
        <is>
          <t>Fund tracing</t>
        </is>
      </c>
      <c r="C16" s="7" t="inlineStr">
        <is>
          <t>Follow each significant payment out of the victim's accounts to where it arrived.</t>
        </is>
      </c>
      <c r="D16" s="4" t="n"/>
      <c r="E16" s="4" t="n"/>
    </row>
    <row r="17">
      <c r="A17" s="6" t="inlineStr">
        <is>
          <t>C-2</t>
        </is>
      </c>
      <c r="B17" s="3" t="inlineStr">
        <is>
          <t>Payee analysis: paid versus supported</t>
        </is>
      </c>
      <c r="C17" s="7" t="inlineStr">
        <is>
          <t>One row per payee who matters to the case (the app's "New payee" findings are a good start).</t>
        </is>
      </c>
      <c r="D17" s="4" t="n"/>
      <c r="E17" s="4" t="n"/>
    </row>
    <row r="18">
      <c r="A18" s="6" t="inlineStr">
        <is>
          <t>C-3</t>
        </is>
      </c>
      <c r="B18" s="3" t="inlineStr">
        <is>
          <t>Cash analysis</t>
        </is>
      </c>
      <c r="C18" s="7" t="inlineStr">
        <is>
          <t>Every cash withdrawal (branch, ATM, cash advance).</t>
        </is>
      </c>
      <c r="D18" s="4" t="n"/>
      <c r="E18" s="4" t="n"/>
    </row>
    <row r="19">
      <c r="A19" s="6" t="inlineStr">
        <is>
          <t>D-1</t>
        </is>
      </c>
      <c r="B19" s="3" t="inlineStr">
        <is>
          <t>Red flag log</t>
        </is>
      </c>
      <c r="C19" s="7" t="inlineStr">
        <is>
          <t>Every red flag: the app's "Fraud patterns found" and Document Check warnings, and anything found by hand.</t>
        </is>
      </c>
      <c r="D19" s="4" t="n"/>
      <c r="E19" s="4" t="n"/>
    </row>
    <row r="20">
      <c r="A20" s="6" t="inlineStr">
        <is>
          <t>D-2</t>
        </is>
      </c>
      <c r="B20" s="3" t="inlineStr">
        <is>
          <t>Document authenticity</t>
        </is>
      </c>
      <c r="C20" s="7" t="inlineStr">
        <is>
          <t>One column per questioned document.</t>
        </is>
      </c>
      <c r="D20" s="4" t="n"/>
      <c r="E20" s="4" t="n"/>
    </row>
    <row r="21">
      <c r="A21" s="6" t="inlineStr">
        <is>
          <t>E-1</t>
        </is>
      </c>
      <c r="B21" s="3" t="inlineStr">
        <is>
          <t>Loss calculation</t>
        </is>
      </c>
      <c r="C21" s="7" t="inlineStr">
        <is>
          <t>Build the amount up from the workpapers, one line per component, and say what each rests on.</t>
        </is>
      </c>
      <c r="D21" s="4" t="n"/>
      <c r="E21" s="4" t="n"/>
    </row>
    <row r="22">
      <c r="A22" s="6" t="inlineStr">
        <is>
          <t>F-1</t>
        </is>
      </c>
      <c r="B22" s="3" t="inlineStr">
        <is>
          <t>Findings summary</t>
        </is>
      </c>
      <c r="C22" s="7" t="inlineStr">
        <is>
          <t>One row per question on A-1.</t>
        </is>
      </c>
      <c r="D22" s="4" t="n"/>
      <c r="E22" s="4" t="n"/>
    </row>
    <row r="23">
      <c r="A23" s="6" t="inlineStr">
        <is>
          <t>R-1</t>
        </is>
      </c>
      <c r="B23" s="3" t="inlineStr">
        <is>
          <t>Review notes</t>
        </is>
      </c>
      <c r="C23" s="7" t="inlineStr">
        <is>
          <t>The reviewer's questions and the preparer's answers.</t>
        </is>
      </c>
      <c r="D23" s="4" t="n"/>
      <c r="E23" s="4" t="n"/>
    </row>
    <row r="25">
      <c r="A25" s="8" t="inlineStr">
        <is>
          <t>Key</t>
        </is>
      </c>
    </row>
    <row r="26">
      <c r="A26" s="4" t="n"/>
      <c r="B26" t="inlineStr">
        <is>
          <t>Blue cells: type here</t>
        </is>
      </c>
    </row>
    <row r="27">
      <c r="A27" s="9" t="n"/>
      <c r="B27" t="inlineStr">
        <is>
          <t>Shaded cells: formulas and totals (don't type over them)</t>
        </is>
      </c>
    </row>
    <row r="28">
      <c r="A28" s="10" t="inlineStr">
        <is>
          <t>Example</t>
        </is>
      </c>
      <c r="B28" t="inlineStr">
        <is>
          <t>Gray italic row on each sheet: an example from the Hartwell case. Delete it before you start.</t>
        </is>
      </c>
    </row>
    <row r="30">
      <c r="A30" s="8" t="inlineStr">
        <is>
          <t>Tickmarks</t>
        </is>
      </c>
    </row>
    <row r="31">
      <c r="A31" s="11" t="inlineStr">
        <is>
          <t>A</t>
        </is>
      </c>
      <c r="B31" t="inlineStr">
        <is>
          <t>Agreed to the source document (statement, check image, wire record)</t>
        </is>
      </c>
    </row>
    <row r="32">
      <c r="A32" s="11" t="inlineStr">
        <is>
          <t>F</t>
        </is>
      </c>
      <c r="B32" t="inlineStr">
        <is>
          <t>Footed: the column adds to the total shown</t>
        </is>
      </c>
    </row>
    <row r="33">
      <c r="A33" s="11" t="inlineStr">
        <is>
          <t>R</t>
        </is>
      </c>
      <c r="B33" t="inlineStr">
        <is>
          <t>Recomputed: the calculation was redone and agrees</t>
        </is>
      </c>
    </row>
    <row r="34">
      <c r="A34" s="11" t="inlineStr">
        <is>
          <t>T</t>
        </is>
      </c>
      <c r="B34" t="inlineStr">
        <is>
          <t>Traced to the receiving account</t>
        </is>
      </c>
    </row>
    <row r="35">
      <c r="A35" s="11" t="inlineStr">
        <is>
          <t>N</t>
        </is>
      </c>
      <c r="B35" t="inlineStr">
        <is>
          <t>No exception noted</t>
        </is>
      </c>
    </row>
    <row r="36">
      <c r="A36" s="11" t="inlineStr">
        <is>
          <t>X</t>
        </is>
      </c>
      <c r="B36" t="inlineStr">
        <is>
          <t>Exception: see the note</t>
        </is>
      </c>
    </row>
  </sheetData>
  <mergeCells count="6">
    <mergeCell ref="C5:E5"/>
    <mergeCell ref="C8:E8"/>
    <mergeCell ref="C9:E9"/>
    <mergeCell ref="C4:E4"/>
    <mergeCell ref="C7:E7"/>
    <mergeCell ref="C6:E6"/>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 xmlns:r="http://schemas.openxmlformats.org/officeDocument/2006/relationships" ref="A15" r:id="rId4"/>
    <hyperlink xmlns:r="http://schemas.openxmlformats.org/officeDocument/2006/relationships" ref="A16" r:id="rId5"/>
    <hyperlink xmlns:r="http://schemas.openxmlformats.org/officeDocument/2006/relationships" ref="A17" r:id="rId6"/>
    <hyperlink xmlns:r="http://schemas.openxmlformats.org/officeDocument/2006/relationships" ref="A18" r:id="rId7"/>
    <hyperlink xmlns:r="http://schemas.openxmlformats.org/officeDocument/2006/relationships" ref="A19" r:id="rId8"/>
    <hyperlink xmlns:r="http://schemas.openxmlformats.org/officeDocument/2006/relationships" ref="A20" r:id="rId9"/>
    <hyperlink xmlns:r="http://schemas.openxmlformats.org/officeDocument/2006/relationships" ref="A21" r:id="rId10"/>
    <hyperlink xmlns:r="http://schemas.openxmlformats.org/officeDocument/2006/relationships" ref="A22" r:id="rId11"/>
    <hyperlink xmlns:r="http://schemas.openxmlformats.org/officeDocument/2006/relationships" ref="A23" r:id="rId12"/>
  </hyperlinks>
  <pageMargins left="0.75" right="0.75" top="1" bottom="1" header="0.5" footer="0.5"/>
  <pageSetup orientation="landscape" fitToHeight="0"/>
</worksheet>
</file>

<file path=xl/worksheets/sheet2.xml><?xml version="1.0" encoding="utf-8"?>
<worksheet xmlns="http://schemas.openxmlformats.org/spreadsheetml/2006/main">
  <sheetPr>
    <tabColor rgb="00246094"/>
    <outlinePr summaryBelow="1" summaryRight="1"/>
    <pageSetUpPr fitToPage="1"/>
  </sheetPr>
  <dimension ref="A1:F21"/>
  <sheetViews>
    <sheetView showGridLines="0" workbookViewId="0">
      <pane ySplit="8" topLeftCell="A9" activePane="bottomLeft" state="frozen"/>
      <selection pane="bottomLeft" activeCell="A1" sqref="A1"/>
    </sheetView>
  </sheetViews>
  <sheetFormatPr baseColWidth="8" defaultRowHeight="15"/>
  <cols>
    <col width="5" customWidth="1" min="1" max="1"/>
    <col width="60" customWidth="1" min="2" max="2"/>
    <col width="20" customWidth="1" min="3" max="3"/>
    <col width="16" customWidth="1" min="4" max="4"/>
    <col width="45" customWidth="1" min="5" max="5"/>
    <col width="30" customWidth="1" min="6" max="6"/>
  </cols>
  <sheetData>
    <row r="1">
      <c r="A1" s="12">
        <f>IF(Index!$C$4="","[Case name: fill in on the Index]",Index!$C$4)</f>
        <v/>
      </c>
      <c r="E1" s="13" t="inlineStr">
        <is>
          <t>Prepared by / date</t>
        </is>
      </c>
      <c r="F1" s="4" t="n"/>
    </row>
    <row r="2" ht="22" customHeight="1">
      <c r="A2" s="14" t="inlineStr">
        <is>
          <t>A-1  Scope and questions</t>
        </is>
      </c>
      <c r="E2" s="13" t="inlineStr">
        <is>
          <t>Reviewed by / date</t>
        </is>
      </c>
      <c r="F2" s="4" t="n"/>
    </row>
    <row r="4">
      <c r="A4" s="15" t="inlineStr">
        <is>
          <t>List each question the client asked (from the engagement letter), in their words. For each, name the workpapers that answer it and track its status. Note any limits on the work: missing records, documents you could not verify.</t>
        </is>
      </c>
    </row>
    <row r="5"/>
    <row r="6"/>
    <row r="8" ht="30" customHeight="1">
      <c r="A8" s="5" t="inlineStr">
        <is>
          <t>#</t>
        </is>
      </c>
      <c r="B8" s="5" t="inlineStr">
        <is>
          <t>Question asked by the client</t>
        </is>
      </c>
      <c r="C8" s="5" t="inlineStr">
        <is>
          <t>Answered in (WP refs)</t>
        </is>
      </c>
      <c r="D8" s="5" t="inlineStr">
        <is>
          <t>Status</t>
        </is>
      </c>
      <c r="E8" s="5" t="inlineStr">
        <is>
          <t>Limitations / records still needed</t>
        </is>
      </c>
      <c r="F8" s="5" t="inlineStr">
        <is>
          <t>Notes</t>
        </is>
      </c>
    </row>
    <row r="9">
      <c r="A9" s="16" t="n">
        <v>1</v>
      </c>
      <c r="B9" s="17" t="inlineStr">
        <is>
          <t>What money left Mrs. Hartwell's accounts from 3/1 to 5/31/2025, and where did it go?</t>
        </is>
      </c>
      <c r="C9" s="17" t="inlineStr">
        <is>
          <t>B-2, C-1, C-3</t>
        </is>
      </c>
      <c r="D9" s="17" t="inlineStr">
        <is>
          <t>Open</t>
        </is>
      </c>
      <c r="E9" s="17" t="inlineStr">
        <is>
          <t>Casino ATM cash can't be traced from bank records</t>
        </is>
      </c>
      <c r="F9" s="17" t="inlineStr"/>
    </row>
    <row r="10">
      <c r="A10" s="18" t="n"/>
      <c r="B10" s="4" t="n"/>
      <c r="C10" s="4" t="n"/>
      <c r="D10" s="4" t="n"/>
      <c r="E10" s="4" t="n"/>
      <c r="F10" s="4" t="n"/>
    </row>
    <row r="11">
      <c r="A11" s="18" t="n"/>
      <c r="B11" s="4" t="n"/>
      <c r="C11" s="4" t="n"/>
      <c r="D11" s="4" t="n"/>
      <c r="E11" s="4" t="n"/>
      <c r="F11" s="4" t="n"/>
    </row>
    <row r="12">
      <c r="A12" s="18" t="n"/>
      <c r="B12" s="4" t="n"/>
      <c r="C12" s="4" t="n"/>
      <c r="D12" s="4" t="n"/>
      <c r="E12" s="4" t="n"/>
      <c r="F12" s="4" t="n"/>
    </row>
    <row r="13">
      <c r="A13" s="18" t="n"/>
      <c r="B13" s="4" t="n"/>
      <c r="C13" s="4" t="n"/>
      <c r="D13" s="4" t="n"/>
      <c r="E13" s="4" t="n"/>
      <c r="F13" s="4" t="n"/>
    </row>
    <row r="14">
      <c r="A14" s="18" t="n"/>
      <c r="B14" s="4" t="n"/>
      <c r="C14" s="4" t="n"/>
      <c r="D14" s="4" t="n"/>
      <c r="E14" s="4" t="n"/>
      <c r="F14" s="4" t="n"/>
    </row>
    <row r="15">
      <c r="A15" s="18" t="n"/>
      <c r="B15" s="4" t="n"/>
      <c r="C15" s="4" t="n"/>
      <c r="D15" s="4" t="n"/>
      <c r="E15" s="4" t="n"/>
      <c r="F15" s="4" t="n"/>
    </row>
    <row r="16">
      <c r="A16" s="18" t="n"/>
      <c r="B16" s="4" t="n"/>
      <c r="C16" s="4" t="n"/>
      <c r="D16" s="4" t="n"/>
      <c r="E16" s="4" t="n"/>
      <c r="F16" s="4" t="n"/>
    </row>
    <row r="17">
      <c r="A17" s="18" t="n"/>
      <c r="B17" s="4" t="n"/>
      <c r="C17" s="4" t="n"/>
      <c r="D17" s="4" t="n"/>
      <c r="E17" s="4" t="n"/>
      <c r="F17" s="4" t="n"/>
    </row>
    <row r="18">
      <c r="A18" s="18" t="n"/>
      <c r="B18" s="4" t="n"/>
      <c r="C18" s="4" t="n"/>
      <c r="D18" s="4" t="n"/>
      <c r="E18" s="4" t="n"/>
      <c r="F18" s="4" t="n"/>
    </row>
    <row r="19">
      <c r="A19" s="18" t="n"/>
      <c r="B19" s="4" t="n"/>
      <c r="C19" s="4" t="n"/>
      <c r="D19" s="4" t="n"/>
      <c r="E19" s="4" t="n"/>
      <c r="F19" s="4" t="n"/>
    </row>
    <row r="20">
      <c r="A20" s="18" t="n"/>
      <c r="B20" s="4" t="n"/>
      <c r="C20" s="4" t="n"/>
      <c r="D20" s="4" t="n"/>
      <c r="E20" s="4" t="n"/>
      <c r="F20" s="4" t="n"/>
    </row>
    <row r="21">
      <c r="A21" s="18" t="n"/>
      <c r="B21" s="4" t="n"/>
      <c r="C21" s="4" t="n"/>
      <c r="D21" s="4" t="n"/>
      <c r="E21" s="4" t="n"/>
      <c r="F21" s="4" t="n"/>
    </row>
  </sheetData>
  <mergeCells count="1">
    <mergeCell ref="A4:F6"/>
  </mergeCells>
  <dataValidations count="13">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 sqref="D9:D21" showDropDown="0" showInputMessage="0" showErrorMessage="0" allowBlank="1" type="list">
      <formula1>"Open,Resolved: explained,Resolved: unexplained,Referred"</formula1>
    </dataValidation>
  </dataValidations>
  <pageMargins left="0.75" right="0.75" top="1" bottom="1" header="0.5" footer="0.5"/>
  <pageSetup orientation="landscape" fitToHeight="0" fitToWidth="1"/>
  <headerFooter>
    <oddHeader/>
    <oddFooter>&amp;LWorkpaper A-1&amp;RPage &amp;P of &amp;N</oddFooter>
    <evenHeader/>
    <evenFooter/>
    <firstHeader/>
    <firstFooter/>
  </headerFooter>
</worksheet>
</file>

<file path=xl/worksheets/sheet3.xml><?xml version="1.0" encoding="utf-8"?>
<worksheet xmlns="http://schemas.openxmlformats.org/spreadsheetml/2006/main">
  <sheetPr>
    <tabColor rgb="00246094"/>
    <outlinePr summaryBelow="1" summaryRight="1"/>
    <pageSetUpPr fitToPage="1"/>
  </sheetPr>
  <dimension ref="A1:K39"/>
  <sheetViews>
    <sheetView showGridLines="0" workbookViewId="0">
      <pane ySplit="8" topLeftCell="A9" activePane="bottomLeft" state="frozen"/>
      <selection pane="bottomLeft" activeCell="A1" sqref="A1"/>
    </sheetView>
  </sheetViews>
  <sheetFormatPr baseColWidth="8" defaultRowHeight="15"/>
  <cols>
    <col width="8" customWidth="1" min="1" max="1"/>
    <col width="38" customWidth="1" min="2" max="2"/>
    <col width="26" customWidth="1" min="3" max="3"/>
    <col width="18" customWidth="1" min="4" max="4"/>
    <col width="12" customWidth="1" min="5" max="5"/>
    <col width="30" customWidth="1" min="6" max="6"/>
    <col width="30" customWidth="1" min="7" max="7"/>
    <col width="7" customWidth="1" min="8" max="8"/>
    <col width="18" customWidth="1" min="9" max="9"/>
    <col width="18" customWidth="1" min="10" max="10"/>
    <col width="30" customWidth="1" min="11" max="11"/>
  </cols>
  <sheetData>
    <row r="1">
      <c r="A1" s="12">
        <f>IF(Index!$C$4="","[Case name: fill in on the Index]",Index!$C$4)</f>
        <v/>
      </c>
      <c r="J1" s="13" t="inlineStr">
        <is>
          <t>Prepared by / date</t>
        </is>
      </c>
      <c r="K1" s="4" t="n"/>
    </row>
    <row r="2" ht="22" customHeight="1">
      <c r="A2" s="14" t="inlineStr">
        <is>
          <t>A-2  Document index</t>
        </is>
      </c>
      <c r="J2" s="13" t="inlineStr">
        <is>
          <t>Reviewed by / date</t>
        </is>
      </c>
      <c r="K2" s="4" t="n"/>
    </row>
    <row r="4">
      <c r="A4" s="15" t="inlineStr">
        <is>
          <t>Every document received, when and from whom. Copy each statement's SHA-256 fingerprint from the app's Evidence record (Download Workpapers tab, or the Evidence sheet of the app's workpaper) so anyone can later confirm it is the same file. Record the Document Check result for each statement.</t>
        </is>
      </c>
    </row>
    <row r="5"/>
    <row r="6"/>
    <row r="8" ht="30" customHeight="1">
      <c r="A8" s="5" t="inlineStr">
        <is>
          <t>Doc ID</t>
        </is>
      </c>
      <c r="B8" s="5" t="inlineStr">
        <is>
          <t>Description</t>
        </is>
      </c>
      <c r="C8" s="5" t="inlineStr">
        <is>
          <t>Source (who produced it)</t>
        </is>
      </c>
      <c r="D8" s="5" t="inlineStr">
        <is>
          <t>How obtained</t>
        </is>
      </c>
      <c r="E8" s="5" t="inlineStr">
        <is>
          <t>Date received</t>
        </is>
      </c>
      <c r="F8" s="5" t="inlineStr">
        <is>
          <t>File name</t>
        </is>
      </c>
      <c r="G8" s="5" t="inlineStr">
        <is>
          <t>SHA-256 (from the app)</t>
        </is>
      </c>
      <c r="H8" s="5" t="inlineStr">
        <is>
          <t>Pages</t>
        </is>
      </c>
      <c r="I8" s="5" t="inlineStr">
        <is>
          <t>Period covered</t>
        </is>
      </c>
      <c r="J8" s="5" t="inlineStr">
        <is>
          <t>Document Check result</t>
        </is>
      </c>
      <c r="K8" s="5" t="inlineStr">
        <is>
          <t>Notes</t>
        </is>
      </c>
    </row>
    <row r="9">
      <c r="A9" s="17" t="inlineStr">
        <is>
          <t>5</t>
        </is>
      </c>
      <c r="B9" s="17" t="inlineStr">
        <is>
          <t>April 2025 checking statement, "family copy"</t>
        </is>
      </c>
      <c r="C9" s="17" t="inlineStr">
        <is>
          <t>Dana Pruitt (by email)</t>
        </is>
      </c>
      <c r="D9" s="17" t="inlineStr">
        <is>
          <t>Client</t>
        </is>
      </c>
      <c r="E9" s="19" t="n">
        <v>45832</v>
      </c>
      <c r="F9" s="17" t="inlineStr">
        <is>
          <t>5_checking_2025-04_family_copy.pdf</t>
        </is>
      </c>
      <c r="G9" s="17" t="inlineStr">
        <is>
          <t>(copy from the app)</t>
        </is>
      </c>
      <c r="H9" s="16" t="n">
        <v>1</v>
      </c>
      <c r="I9" s="17" t="inlineStr">
        <is>
          <t>04/01-04/30/2025</t>
        </is>
      </c>
      <c r="J9" s="17" t="inlineStr">
        <is>
          <t>May have been altered</t>
        </is>
      </c>
      <c r="K9" s="17" t="inlineStr">
        <is>
          <t>Compare with Doc 2, the bank's copy</t>
        </is>
      </c>
    </row>
    <row r="10">
      <c r="A10" s="4" t="n"/>
      <c r="B10" s="4" t="n"/>
      <c r="C10" s="4" t="n"/>
      <c r="D10" s="4" t="n"/>
      <c r="E10" s="20" t="n"/>
      <c r="F10" s="4" t="n"/>
      <c r="G10" s="4" t="n"/>
      <c r="H10" s="18" t="n"/>
      <c r="I10" s="4" t="n"/>
      <c r="J10" s="4" t="n"/>
      <c r="K10" s="4" t="n"/>
    </row>
    <row r="11">
      <c r="A11" s="4" t="n"/>
      <c r="B11" s="4" t="n"/>
      <c r="C11" s="4" t="n"/>
      <c r="D11" s="4" t="n"/>
      <c r="E11" s="20" t="n"/>
      <c r="F11" s="4" t="n"/>
      <c r="G11" s="4" t="n"/>
      <c r="H11" s="18" t="n"/>
      <c r="I11" s="4" t="n"/>
      <c r="J11" s="4" t="n"/>
      <c r="K11" s="4" t="n"/>
    </row>
    <row r="12">
      <c r="A12" s="4" t="n"/>
      <c r="B12" s="4" t="n"/>
      <c r="C12" s="4" t="n"/>
      <c r="D12" s="4" t="n"/>
      <c r="E12" s="20" t="n"/>
      <c r="F12" s="4" t="n"/>
      <c r="G12" s="4" t="n"/>
      <c r="H12" s="18" t="n"/>
      <c r="I12" s="4" t="n"/>
      <c r="J12" s="4" t="n"/>
      <c r="K12" s="4" t="n"/>
    </row>
    <row r="13">
      <c r="A13" s="4" t="n"/>
      <c r="B13" s="4" t="n"/>
      <c r="C13" s="4" t="n"/>
      <c r="D13" s="4" t="n"/>
      <c r="E13" s="20" t="n"/>
      <c r="F13" s="4" t="n"/>
      <c r="G13" s="4" t="n"/>
      <c r="H13" s="18" t="n"/>
      <c r="I13" s="4" t="n"/>
      <c r="J13" s="4" t="n"/>
      <c r="K13" s="4" t="n"/>
    </row>
    <row r="14">
      <c r="A14" s="4" t="n"/>
      <c r="B14" s="4" t="n"/>
      <c r="C14" s="4" t="n"/>
      <c r="D14" s="4" t="n"/>
      <c r="E14" s="20" t="n"/>
      <c r="F14" s="4" t="n"/>
      <c r="G14" s="4" t="n"/>
      <c r="H14" s="18" t="n"/>
      <c r="I14" s="4" t="n"/>
      <c r="J14" s="4" t="n"/>
      <c r="K14" s="4" t="n"/>
    </row>
    <row r="15">
      <c r="A15" s="4" t="n"/>
      <c r="B15" s="4" t="n"/>
      <c r="C15" s="4" t="n"/>
      <c r="D15" s="4" t="n"/>
      <c r="E15" s="20" t="n"/>
      <c r="F15" s="4" t="n"/>
      <c r="G15" s="4" t="n"/>
      <c r="H15" s="18" t="n"/>
      <c r="I15" s="4" t="n"/>
      <c r="J15" s="4" t="n"/>
      <c r="K15" s="4" t="n"/>
    </row>
    <row r="16">
      <c r="A16" s="4" t="n"/>
      <c r="B16" s="4" t="n"/>
      <c r="C16" s="4" t="n"/>
      <c r="D16" s="4" t="n"/>
      <c r="E16" s="20" t="n"/>
      <c r="F16" s="4" t="n"/>
      <c r="G16" s="4" t="n"/>
      <c r="H16" s="18" t="n"/>
      <c r="I16" s="4" t="n"/>
      <c r="J16" s="4" t="n"/>
      <c r="K16" s="4" t="n"/>
    </row>
    <row r="17">
      <c r="A17" s="4" t="n"/>
      <c r="B17" s="4" t="n"/>
      <c r="C17" s="4" t="n"/>
      <c r="D17" s="4" t="n"/>
      <c r="E17" s="20" t="n"/>
      <c r="F17" s="4" t="n"/>
      <c r="G17" s="4" t="n"/>
      <c r="H17" s="18" t="n"/>
      <c r="I17" s="4" t="n"/>
      <c r="J17" s="4" t="n"/>
      <c r="K17" s="4" t="n"/>
    </row>
    <row r="18">
      <c r="A18" s="4" t="n"/>
      <c r="B18" s="4" t="n"/>
      <c r="C18" s="4" t="n"/>
      <c r="D18" s="4" t="n"/>
      <c r="E18" s="20" t="n"/>
      <c r="F18" s="4" t="n"/>
      <c r="G18" s="4" t="n"/>
      <c r="H18" s="18" t="n"/>
      <c r="I18" s="4" t="n"/>
      <c r="J18" s="4" t="n"/>
      <c r="K18" s="4" t="n"/>
    </row>
    <row r="19">
      <c r="A19" s="4" t="n"/>
      <c r="B19" s="4" t="n"/>
      <c r="C19" s="4" t="n"/>
      <c r="D19" s="4" t="n"/>
      <c r="E19" s="20" t="n"/>
      <c r="F19" s="4" t="n"/>
      <c r="G19" s="4" t="n"/>
      <c r="H19" s="18" t="n"/>
      <c r="I19" s="4" t="n"/>
      <c r="J19" s="4" t="n"/>
      <c r="K19" s="4" t="n"/>
    </row>
    <row r="20">
      <c r="A20" s="4" t="n"/>
      <c r="B20" s="4" t="n"/>
      <c r="C20" s="4" t="n"/>
      <c r="D20" s="4" t="n"/>
      <c r="E20" s="20" t="n"/>
      <c r="F20" s="4" t="n"/>
      <c r="G20" s="4" t="n"/>
      <c r="H20" s="18" t="n"/>
      <c r="I20" s="4" t="n"/>
      <c r="J20" s="4" t="n"/>
      <c r="K20" s="4" t="n"/>
    </row>
    <row r="21">
      <c r="A21" s="4" t="n"/>
      <c r="B21" s="4" t="n"/>
      <c r="C21" s="4" t="n"/>
      <c r="D21" s="4" t="n"/>
      <c r="E21" s="20" t="n"/>
      <c r="F21" s="4" t="n"/>
      <c r="G21" s="4" t="n"/>
      <c r="H21" s="18" t="n"/>
      <c r="I21" s="4" t="n"/>
      <c r="J21" s="4" t="n"/>
      <c r="K21" s="4" t="n"/>
    </row>
    <row r="22">
      <c r="A22" s="4" t="n"/>
      <c r="B22" s="4" t="n"/>
      <c r="C22" s="4" t="n"/>
      <c r="D22" s="4" t="n"/>
      <c r="E22" s="20" t="n"/>
      <c r="F22" s="4" t="n"/>
      <c r="G22" s="4" t="n"/>
      <c r="H22" s="18" t="n"/>
      <c r="I22" s="4" t="n"/>
      <c r="J22" s="4" t="n"/>
      <c r="K22" s="4" t="n"/>
    </row>
    <row r="23">
      <c r="A23" s="4" t="n"/>
      <c r="B23" s="4" t="n"/>
      <c r="C23" s="4" t="n"/>
      <c r="D23" s="4" t="n"/>
      <c r="E23" s="20" t="n"/>
      <c r="F23" s="4" t="n"/>
      <c r="G23" s="4" t="n"/>
      <c r="H23" s="18" t="n"/>
      <c r="I23" s="4" t="n"/>
      <c r="J23" s="4" t="n"/>
      <c r="K23" s="4" t="n"/>
    </row>
    <row r="24">
      <c r="A24" s="4" t="n"/>
      <c r="B24" s="4" t="n"/>
      <c r="C24" s="4" t="n"/>
      <c r="D24" s="4" t="n"/>
      <c r="E24" s="20" t="n"/>
      <c r="F24" s="4" t="n"/>
      <c r="G24" s="4" t="n"/>
      <c r="H24" s="18" t="n"/>
      <c r="I24" s="4" t="n"/>
      <c r="J24" s="4" t="n"/>
      <c r="K24" s="4" t="n"/>
    </row>
    <row r="25">
      <c r="A25" s="4" t="n"/>
      <c r="B25" s="4" t="n"/>
      <c r="C25" s="4" t="n"/>
      <c r="D25" s="4" t="n"/>
      <c r="E25" s="20" t="n"/>
      <c r="F25" s="4" t="n"/>
      <c r="G25" s="4" t="n"/>
      <c r="H25" s="18" t="n"/>
      <c r="I25" s="4" t="n"/>
      <c r="J25" s="4" t="n"/>
      <c r="K25" s="4" t="n"/>
    </row>
    <row r="26">
      <c r="A26" s="4" t="n"/>
      <c r="B26" s="4" t="n"/>
      <c r="C26" s="4" t="n"/>
      <c r="D26" s="4" t="n"/>
      <c r="E26" s="20" t="n"/>
      <c r="F26" s="4" t="n"/>
      <c r="G26" s="4" t="n"/>
      <c r="H26" s="18" t="n"/>
      <c r="I26" s="4" t="n"/>
      <c r="J26" s="4" t="n"/>
      <c r="K26" s="4" t="n"/>
    </row>
    <row r="27">
      <c r="A27" s="4" t="n"/>
      <c r="B27" s="4" t="n"/>
      <c r="C27" s="4" t="n"/>
      <c r="D27" s="4" t="n"/>
      <c r="E27" s="20" t="n"/>
      <c r="F27" s="4" t="n"/>
      <c r="G27" s="4" t="n"/>
      <c r="H27" s="18" t="n"/>
      <c r="I27" s="4" t="n"/>
      <c r="J27" s="4" t="n"/>
      <c r="K27" s="4" t="n"/>
    </row>
    <row r="28">
      <c r="A28" s="4" t="n"/>
      <c r="B28" s="4" t="n"/>
      <c r="C28" s="4" t="n"/>
      <c r="D28" s="4" t="n"/>
      <c r="E28" s="20" t="n"/>
      <c r="F28" s="4" t="n"/>
      <c r="G28" s="4" t="n"/>
      <c r="H28" s="18" t="n"/>
      <c r="I28" s="4" t="n"/>
      <c r="J28" s="4" t="n"/>
      <c r="K28" s="4" t="n"/>
    </row>
    <row r="29">
      <c r="A29" s="4" t="n"/>
      <c r="B29" s="4" t="n"/>
      <c r="C29" s="4" t="n"/>
      <c r="D29" s="4" t="n"/>
      <c r="E29" s="20" t="n"/>
      <c r="F29" s="4" t="n"/>
      <c r="G29" s="4" t="n"/>
      <c r="H29" s="18" t="n"/>
      <c r="I29" s="4" t="n"/>
      <c r="J29" s="4" t="n"/>
      <c r="K29" s="4" t="n"/>
    </row>
    <row r="30">
      <c r="A30" s="4" t="n"/>
      <c r="B30" s="4" t="n"/>
      <c r="C30" s="4" t="n"/>
      <c r="D30" s="4" t="n"/>
      <c r="E30" s="20" t="n"/>
      <c r="F30" s="4" t="n"/>
      <c r="G30" s="4" t="n"/>
      <c r="H30" s="18" t="n"/>
      <c r="I30" s="4" t="n"/>
      <c r="J30" s="4" t="n"/>
      <c r="K30" s="4" t="n"/>
    </row>
    <row r="31">
      <c r="A31" s="4" t="n"/>
      <c r="B31" s="4" t="n"/>
      <c r="C31" s="4" t="n"/>
      <c r="D31" s="4" t="n"/>
      <c r="E31" s="20" t="n"/>
      <c r="F31" s="4" t="n"/>
      <c r="G31" s="4" t="n"/>
      <c r="H31" s="18" t="n"/>
      <c r="I31" s="4" t="n"/>
      <c r="J31" s="4" t="n"/>
      <c r="K31" s="4" t="n"/>
    </row>
    <row r="32">
      <c r="A32" s="4" t="n"/>
      <c r="B32" s="4" t="n"/>
      <c r="C32" s="4" t="n"/>
      <c r="D32" s="4" t="n"/>
      <c r="E32" s="20" t="n"/>
      <c r="F32" s="4" t="n"/>
      <c r="G32" s="4" t="n"/>
      <c r="H32" s="18" t="n"/>
      <c r="I32" s="4" t="n"/>
      <c r="J32" s="4" t="n"/>
      <c r="K32" s="4" t="n"/>
    </row>
    <row r="33">
      <c r="A33" s="4" t="n"/>
      <c r="B33" s="4" t="n"/>
      <c r="C33" s="4" t="n"/>
      <c r="D33" s="4" t="n"/>
      <c r="E33" s="20" t="n"/>
      <c r="F33" s="4" t="n"/>
      <c r="G33" s="4" t="n"/>
      <c r="H33" s="18" t="n"/>
      <c r="I33" s="4" t="n"/>
      <c r="J33" s="4" t="n"/>
      <c r="K33" s="4" t="n"/>
    </row>
    <row r="34">
      <c r="A34" s="4" t="n"/>
      <c r="B34" s="4" t="n"/>
      <c r="C34" s="4" t="n"/>
      <c r="D34" s="4" t="n"/>
      <c r="E34" s="20" t="n"/>
      <c r="F34" s="4" t="n"/>
      <c r="G34" s="4" t="n"/>
      <c r="H34" s="18" t="n"/>
      <c r="I34" s="4" t="n"/>
      <c r="J34" s="4" t="n"/>
      <c r="K34" s="4" t="n"/>
    </row>
    <row r="35">
      <c r="A35" s="4" t="n"/>
      <c r="B35" s="4" t="n"/>
      <c r="C35" s="4" t="n"/>
      <c r="D35" s="4" t="n"/>
      <c r="E35" s="20" t="n"/>
      <c r="F35" s="4" t="n"/>
      <c r="G35" s="4" t="n"/>
      <c r="H35" s="18" t="n"/>
      <c r="I35" s="4" t="n"/>
      <c r="J35" s="4" t="n"/>
      <c r="K35" s="4" t="n"/>
    </row>
    <row r="36">
      <c r="A36" s="4" t="n"/>
      <c r="B36" s="4" t="n"/>
      <c r="C36" s="4" t="n"/>
      <c r="D36" s="4" t="n"/>
      <c r="E36" s="20" t="n"/>
      <c r="F36" s="4" t="n"/>
      <c r="G36" s="4" t="n"/>
      <c r="H36" s="18" t="n"/>
      <c r="I36" s="4" t="n"/>
      <c r="J36" s="4" t="n"/>
      <c r="K36" s="4" t="n"/>
    </row>
    <row r="37">
      <c r="A37" s="4" t="n"/>
      <c r="B37" s="4" t="n"/>
      <c r="C37" s="4" t="n"/>
      <c r="D37" s="4" t="n"/>
      <c r="E37" s="20" t="n"/>
      <c r="F37" s="4" t="n"/>
      <c r="G37" s="4" t="n"/>
      <c r="H37" s="18" t="n"/>
      <c r="I37" s="4" t="n"/>
      <c r="J37" s="4" t="n"/>
      <c r="K37" s="4" t="n"/>
    </row>
    <row r="38">
      <c r="A38" s="4" t="n"/>
      <c r="B38" s="4" t="n"/>
      <c r="C38" s="4" t="n"/>
      <c r="D38" s="4" t="n"/>
      <c r="E38" s="20" t="n"/>
      <c r="F38" s="4" t="n"/>
      <c r="G38" s="4" t="n"/>
      <c r="H38" s="18" t="n"/>
      <c r="I38" s="4" t="n"/>
      <c r="J38" s="4" t="n"/>
      <c r="K38" s="4" t="n"/>
    </row>
    <row r="39">
      <c r="A39" s="4" t="n"/>
      <c r="B39" s="4" t="n"/>
      <c r="C39" s="4" t="n"/>
      <c r="D39" s="4" t="n"/>
      <c r="E39" s="20" t="n"/>
      <c r="F39" s="4" t="n"/>
      <c r="G39" s="4" t="n"/>
      <c r="H39" s="18" t="n"/>
      <c r="I39" s="4" t="n"/>
      <c r="J39" s="4" t="n"/>
      <c r="K39" s="4" t="n"/>
    </row>
  </sheetData>
  <mergeCells count="1">
    <mergeCell ref="A4:K6"/>
  </mergeCells>
  <dataValidations count="31">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 sqref="J9:J39" showDropDown="0" showInputMessage="0" showErrorMessage="0" allowBlank="1" type="list">
      <formula1>"Looks normal,Worth checking,May have been altered,May be AI-generated,Not checked"</formula1>
    </dataValidation>
  </dataValidations>
  <pageMargins left="0.75" right="0.75" top="1" bottom="1" header="0.5" footer="0.5"/>
  <pageSetup orientation="landscape" fitToHeight="0" fitToWidth="1"/>
  <headerFooter>
    <oddHeader/>
    <oddFooter>&amp;LWorkpaper A-2&amp;RPage &amp;P of &amp;N</oddFooter>
    <evenHeader/>
    <evenFooter/>
    <firstHeader/>
    <firstFooter/>
  </headerFooter>
</worksheet>
</file>

<file path=xl/worksheets/sheet4.xml><?xml version="1.0" encoding="utf-8"?>
<worksheet xmlns="http://schemas.openxmlformats.org/spreadsheetml/2006/main">
  <sheetPr>
    <tabColor rgb="00246094"/>
    <outlinePr summaryBelow="1" summaryRight="1"/>
    <pageSetUpPr fitToPage="1"/>
  </sheetPr>
  <dimension ref="A1:M40"/>
  <sheetViews>
    <sheetView showGridLines="0" workbookViewId="0">
      <pane ySplit="8" topLeftCell="A9" activePane="bottomLeft" state="frozen"/>
      <selection pane="bottomLeft" activeCell="A1" sqref="A1"/>
    </sheetView>
  </sheetViews>
  <sheetFormatPr baseColWidth="8" defaultRowHeight="15"/>
  <cols>
    <col width="7" customWidth="1" min="1" max="1"/>
    <col width="20" customWidth="1" min="2" max="2"/>
    <col width="10" customWidth="1" min="3" max="3"/>
    <col width="18" customWidth="1" min="4" max="4"/>
    <col width="15" customWidth="1" min="5" max="5"/>
    <col width="14" customWidth="1" min="6" max="6"/>
    <col width="14" customWidth="1" min="7" max="7"/>
    <col width="15" customWidth="1" min="8" max="8"/>
    <col width="15" customWidth="1" min="9" max="9"/>
    <col width="13" customWidth="1" min="10" max="10"/>
    <col width="12" customWidth="1" min="11" max="11"/>
    <col width="13" customWidth="1" min="12" max="12"/>
    <col width="30" customWidth="1" min="13" max="13"/>
  </cols>
  <sheetData>
    <row r="1">
      <c r="A1" s="12">
        <f>IF(Index!$C$4="","[Case name: fill in on the Index]",Index!$C$4)</f>
        <v/>
      </c>
      <c r="L1" s="13" t="inlineStr">
        <is>
          <t>Prepared by / date</t>
        </is>
      </c>
      <c r="M1" s="4" t="n"/>
    </row>
    <row r="2" ht="22" customHeight="1">
      <c r="A2" s="14" t="inlineStr">
        <is>
          <t>B-1  Bank reconciliation (proof of each statement)</t>
        </is>
      </c>
      <c r="L2" s="13" t="inlineStr">
        <is>
          <t>Reviewed by / date</t>
        </is>
      </c>
      <c r="M2" s="4" t="n"/>
    </row>
    <row r="4">
      <c r="A4" s="15" t="inlineStr">
        <is>
          <t>Prove each statement before relying on it: beginning balance + deposits - withdrawals should equal the ending balance the bank printed. Deposits and withdrawals come from the transactions the app read (Transactions tab, or the workpaper). A difference means a missed or misread line, or an altered statement. Record the app's Bank Reconciliation result too.</t>
        </is>
      </c>
    </row>
    <row r="5"/>
    <row r="6"/>
    <row r="8" ht="30" customHeight="1">
      <c r="A8" s="5" t="inlineStr">
        <is>
          <t>Doc ID</t>
        </is>
      </c>
      <c r="B8" s="5" t="inlineStr">
        <is>
          <t>Bank</t>
        </is>
      </c>
      <c r="C8" s="5" t="inlineStr">
        <is>
          <t>Account (last 4)</t>
        </is>
      </c>
      <c r="D8" s="5" t="inlineStr">
        <is>
          <t>Period</t>
        </is>
      </c>
      <c r="E8" s="5" t="inlineStr">
        <is>
          <t>Beginning balance (per statement)</t>
        </is>
      </c>
      <c r="F8" s="5" t="inlineStr">
        <is>
          <t>Deposits (per detail)</t>
        </is>
      </c>
      <c r="G8" s="5" t="inlineStr">
        <is>
          <t>Withdrawals (per detail)</t>
        </is>
      </c>
      <c r="H8" s="5" t="inlineStr">
        <is>
          <t>Computed ending</t>
        </is>
      </c>
      <c r="I8" s="5" t="inlineStr">
        <is>
          <t>Ending balance (per statement)</t>
        </is>
      </c>
      <c r="J8" s="5" t="inlineStr">
        <is>
          <t>Difference</t>
        </is>
      </c>
      <c r="K8" s="5" t="inlineStr">
        <is>
          <t>Result</t>
        </is>
      </c>
      <c r="L8" s="5" t="inlineStr">
        <is>
          <t>App's result</t>
        </is>
      </c>
      <c r="M8" s="5" t="inlineStr">
        <is>
          <t>Tickmarks / notes</t>
        </is>
      </c>
    </row>
    <row r="9">
      <c r="A9" s="17" t="inlineStr">
        <is>
          <t>2</t>
        </is>
      </c>
      <c r="B9" s="17" t="inlineStr">
        <is>
          <t>Larkspur Valley Bank</t>
        </is>
      </c>
      <c r="C9" s="17" t="inlineStr">
        <is>
          <t>8701</t>
        </is>
      </c>
      <c r="D9" s="17" t="inlineStr">
        <is>
          <t>04/01-04/30/2025</t>
        </is>
      </c>
      <c r="E9" s="21" t="n">
        <v>16760.41</v>
      </c>
      <c r="F9" s="21" t="n">
        <v>52970.67</v>
      </c>
      <c r="G9" s="21" t="n">
        <v>50647.92</v>
      </c>
      <c r="H9" s="22">
        <f>IF(E9="","",E9+F9-G9)</f>
        <v/>
      </c>
      <c r="I9" s="21" t="n">
        <v>19083.16</v>
      </c>
      <c r="J9" s="22">
        <f>IF(OR(H9="",I9=""),"",ROUND(I9-H9,2))</f>
        <v/>
      </c>
      <c r="K9" s="23">
        <f>IF(J9="","",IF(ABS(J9)&lt;0.005,"Reconciled","Variance"))</f>
        <v/>
      </c>
      <c r="L9" s="17" t="inlineStr">
        <is>
          <t>Reconciled</t>
        </is>
      </c>
      <c r="M9" s="17" t="inlineStr">
        <is>
          <t>A F R</t>
        </is>
      </c>
    </row>
    <row r="10">
      <c r="A10" s="4" t="n"/>
      <c r="B10" s="4" t="n"/>
      <c r="C10" s="4" t="n"/>
      <c r="D10" s="4" t="n"/>
      <c r="E10" s="24" t="n"/>
      <c r="F10" s="24" t="n"/>
      <c r="G10" s="24" t="n"/>
      <c r="H10" s="25">
        <f>IF(E10="","",E10+F10-G10)</f>
        <v/>
      </c>
      <c r="I10" s="24" t="n"/>
      <c r="J10" s="25">
        <f>IF(OR(H10="",I10=""),"",ROUND(I10-H10,2))</f>
        <v/>
      </c>
      <c r="K10" s="7">
        <f>IF(J10="","",IF(ABS(J10)&lt;0.005,"Reconciled","Variance"))</f>
        <v/>
      </c>
      <c r="L10" s="4" t="n"/>
      <c r="M10" s="4" t="n"/>
    </row>
    <row r="11">
      <c r="A11" s="4" t="n"/>
      <c r="B11" s="4" t="n"/>
      <c r="C11" s="4" t="n"/>
      <c r="D11" s="4" t="n"/>
      <c r="E11" s="24" t="n"/>
      <c r="F11" s="24" t="n"/>
      <c r="G11" s="24" t="n"/>
      <c r="H11" s="25">
        <f>IF(E11="","",E11+F11-G11)</f>
        <v/>
      </c>
      <c r="I11" s="24" t="n"/>
      <c r="J11" s="25">
        <f>IF(OR(H11="",I11=""),"",ROUND(I11-H11,2))</f>
        <v/>
      </c>
      <c r="K11" s="7">
        <f>IF(J11="","",IF(ABS(J11)&lt;0.005,"Reconciled","Variance"))</f>
        <v/>
      </c>
      <c r="L11" s="4" t="n"/>
      <c r="M11" s="4" t="n"/>
    </row>
    <row r="12">
      <c r="A12" s="4" t="n"/>
      <c r="B12" s="4" t="n"/>
      <c r="C12" s="4" t="n"/>
      <c r="D12" s="4" t="n"/>
      <c r="E12" s="24" t="n"/>
      <c r="F12" s="24" t="n"/>
      <c r="G12" s="24" t="n"/>
      <c r="H12" s="25">
        <f>IF(E12="","",E12+F12-G12)</f>
        <v/>
      </c>
      <c r="I12" s="24" t="n"/>
      <c r="J12" s="25">
        <f>IF(OR(H12="",I12=""),"",ROUND(I12-H12,2))</f>
        <v/>
      </c>
      <c r="K12" s="7">
        <f>IF(J12="","",IF(ABS(J12)&lt;0.005,"Reconciled","Variance"))</f>
        <v/>
      </c>
      <c r="L12" s="4" t="n"/>
      <c r="M12" s="4" t="n"/>
    </row>
    <row r="13">
      <c r="A13" s="4" t="n"/>
      <c r="B13" s="4" t="n"/>
      <c r="C13" s="4" t="n"/>
      <c r="D13" s="4" t="n"/>
      <c r="E13" s="24" t="n"/>
      <c r="F13" s="24" t="n"/>
      <c r="G13" s="24" t="n"/>
      <c r="H13" s="25">
        <f>IF(E13="","",E13+F13-G13)</f>
        <v/>
      </c>
      <c r="I13" s="24" t="n"/>
      <c r="J13" s="25">
        <f>IF(OR(H13="",I13=""),"",ROUND(I13-H13,2))</f>
        <v/>
      </c>
      <c r="K13" s="7">
        <f>IF(J13="","",IF(ABS(J13)&lt;0.005,"Reconciled","Variance"))</f>
        <v/>
      </c>
      <c r="L13" s="4" t="n"/>
      <c r="M13" s="4" t="n"/>
    </row>
    <row r="14">
      <c r="A14" s="4" t="n"/>
      <c r="B14" s="4" t="n"/>
      <c r="C14" s="4" t="n"/>
      <c r="D14" s="4" t="n"/>
      <c r="E14" s="24" t="n"/>
      <c r="F14" s="24" t="n"/>
      <c r="G14" s="24" t="n"/>
      <c r="H14" s="25">
        <f>IF(E14="","",E14+F14-G14)</f>
        <v/>
      </c>
      <c r="I14" s="24" t="n"/>
      <c r="J14" s="25">
        <f>IF(OR(H14="",I14=""),"",ROUND(I14-H14,2))</f>
        <v/>
      </c>
      <c r="K14" s="7">
        <f>IF(J14="","",IF(ABS(J14)&lt;0.005,"Reconciled","Variance"))</f>
        <v/>
      </c>
      <c r="L14" s="4" t="n"/>
      <c r="M14" s="4" t="n"/>
    </row>
    <row r="15">
      <c r="A15" s="4" t="n"/>
      <c r="B15" s="4" t="n"/>
      <c r="C15" s="4" t="n"/>
      <c r="D15" s="4" t="n"/>
      <c r="E15" s="24" t="n"/>
      <c r="F15" s="24" t="n"/>
      <c r="G15" s="24" t="n"/>
      <c r="H15" s="25">
        <f>IF(E15="","",E15+F15-G15)</f>
        <v/>
      </c>
      <c r="I15" s="24" t="n"/>
      <c r="J15" s="25">
        <f>IF(OR(H15="",I15=""),"",ROUND(I15-H15,2))</f>
        <v/>
      </c>
      <c r="K15" s="7">
        <f>IF(J15="","",IF(ABS(J15)&lt;0.005,"Reconciled","Variance"))</f>
        <v/>
      </c>
      <c r="L15" s="4" t="n"/>
      <c r="M15" s="4" t="n"/>
    </row>
    <row r="16">
      <c r="A16" s="4" t="n"/>
      <c r="B16" s="4" t="n"/>
      <c r="C16" s="4" t="n"/>
      <c r="D16" s="4" t="n"/>
      <c r="E16" s="24" t="n"/>
      <c r="F16" s="24" t="n"/>
      <c r="G16" s="24" t="n"/>
      <c r="H16" s="25">
        <f>IF(E16="","",E16+F16-G16)</f>
        <v/>
      </c>
      <c r="I16" s="24" t="n"/>
      <c r="J16" s="25">
        <f>IF(OR(H16="",I16=""),"",ROUND(I16-H16,2))</f>
        <v/>
      </c>
      <c r="K16" s="7">
        <f>IF(J16="","",IF(ABS(J16)&lt;0.005,"Reconciled","Variance"))</f>
        <v/>
      </c>
      <c r="L16" s="4" t="n"/>
      <c r="M16" s="4" t="n"/>
    </row>
    <row r="17">
      <c r="A17" s="4" t="n"/>
      <c r="B17" s="4" t="n"/>
      <c r="C17" s="4" t="n"/>
      <c r="D17" s="4" t="n"/>
      <c r="E17" s="24" t="n"/>
      <c r="F17" s="24" t="n"/>
      <c r="G17" s="24" t="n"/>
      <c r="H17" s="25">
        <f>IF(E17="","",E17+F17-G17)</f>
        <v/>
      </c>
      <c r="I17" s="24" t="n"/>
      <c r="J17" s="25">
        <f>IF(OR(H17="",I17=""),"",ROUND(I17-H17,2))</f>
        <v/>
      </c>
      <c r="K17" s="7">
        <f>IF(J17="","",IF(ABS(J17)&lt;0.005,"Reconciled","Variance"))</f>
        <v/>
      </c>
      <c r="L17" s="4" t="n"/>
      <c r="M17" s="4" t="n"/>
    </row>
    <row r="18">
      <c r="A18" s="4" t="n"/>
      <c r="B18" s="4" t="n"/>
      <c r="C18" s="4" t="n"/>
      <c r="D18" s="4" t="n"/>
      <c r="E18" s="24" t="n"/>
      <c r="F18" s="24" t="n"/>
      <c r="G18" s="24" t="n"/>
      <c r="H18" s="25">
        <f>IF(E18="","",E18+F18-G18)</f>
        <v/>
      </c>
      <c r="I18" s="24" t="n"/>
      <c r="J18" s="25">
        <f>IF(OR(H18="",I18=""),"",ROUND(I18-H18,2))</f>
        <v/>
      </c>
      <c r="K18" s="7">
        <f>IF(J18="","",IF(ABS(J18)&lt;0.005,"Reconciled","Variance"))</f>
        <v/>
      </c>
      <c r="L18" s="4" t="n"/>
      <c r="M18" s="4" t="n"/>
    </row>
    <row r="19">
      <c r="A19" s="4" t="n"/>
      <c r="B19" s="4" t="n"/>
      <c r="C19" s="4" t="n"/>
      <c r="D19" s="4" t="n"/>
      <c r="E19" s="24" t="n"/>
      <c r="F19" s="24" t="n"/>
      <c r="G19" s="24" t="n"/>
      <c r="H19" s="25">
        <f>IF(E19="","",E19+F19-G19)</f>
        <v/>
      </c>
      <c r="I19" s="24" t="n"/>
      <c r="J19" s="25">
        <f>IF(OR(H19="",I19=""),"",ROUND(I19-H19,2))</f>
        <v/>
      </c>
      <c r="K19" s="7">
        <f>IF(J19="","",IF(ABS(J19)&lt;0.005,"Reconciled","Variance"))</f>
        <v/>
      </c>
      <c r="L19" s="4" t="n"/>
      <c r="M19" s="4" t="n"/>
    </row>
    <row r="20">
      <c r="A20" s="4" t="n"/>
      <c r="B20" s="4" t="n"/>
      <c r="C20" s="4" t="n"/>
      <c r="D20" s="4" t="n"/>
      <c r="E20" s="24" t="n"/>
      <c r="F20" s="24" t="n"/>
      <c r="G20" s="24" t="n"/>
      <c r="H20" s="25">
        <f>IF(E20="","",E20+F20-G20)</f>
        <v/>
      </c>
      <c r="I20" s="24" t="n"/>
      <c r="J20" s="25">
        <f>IF(OR(H20="",I20=""),"",ROUND(I20-H20,2))</f>
        <v/>
      </c>
      <c r="K20" s="7">
        <f>IF(J20="","",IF(ABS(J20)&lt;0.005,"Reconciled","Variance"))</f>
        <v/>
      </c>
      <c r="L20" s="4" t="n"/>
      <c r="M20" s="4" t="n"/>
    </row>
    <row r="21">
      <c r="A21" s="4" t="n"/>
      <c r="B21" s="4" t="n"/>
      <c r="C21" s="4" t="n"/>
      <c r="D21" s="4" t="n"/>
      <c r="E21" s="24" t="n"/>
      <c r="F21" s="24" t="n"/>
      <c r="G21" s="24" t="n"/>
      <c r="H21" s="25">
        <f>IF(E21="","",E21+F21-G21)</f>
        <v/>
      </c>
      <c r="I21" s="24" t="n"/>
      <c r="J21" s="25">
        <f>IF(OR(H21="",I21=""),"",ROUND(I21-H21,2))</f>
        <v/>
      </c>
      <c r="K21" s="7">
        <f>IF(J21="","",IF(ABS(J21)&lt;0.005,"Reconciled","Variance"))</f>
        <v/>
      </c>
      <c r="L21" s="4" t="n"/>
      <c r="M21" s="4" t="n"/>
    </row>
    <row r="22">
      <c r="A22" s="4" t="n"/>
      <c r="B22" s="4" t="n"/>
      <c r="C22" s="4" t="n"/>
      <c r="D22" s="4" t="n"/>
      <c r="E22" s="24" t="n"/>
      <c r="F22" s="24" t="n"/>
      <c r="G22" s="24" t="n"/>
      <c r="H22" s="25">
        <f>IF(E22="","",E22+F22-G22)</f>
        <v/>
      </c>
      <c r="I22" s="24" t="n"/>
      <c r="J22" s="25">
        <f>IF(OR(H22="",I22=""),"",ROUND(I22-H22,2))</f>
        <v/>
      </c>
      <c r="K22" s="7">
        <f>IF(J22="","",IF(ABS(J22)&lt;0.005,"Reconciled","Variance"))</f>
        <v/>
      </c>
      <c r="L22" s="4" t="n"/>
      <c r="M22" s="4" t="n"/>
    </row>
    <row r="23">
      <c r="A23" s="4" t="n"/>
      <c r="B23" s="4" t="n"/>
      <c r="C23" s="4" t="n"/>
      <c r="D23" s="4" t="n"/>
      <c r="E23" s="24" t="n"/>
      <c r="F23" s="24" t="n"/>
      <c r="G23" s="24" t="n"/>
      <c r="H23" s="25">
        <f>IF(E23="","",E23+F23-G23)</f>
        <v/>
      </c>
      <c r="I23" s="24" t="n"/>
      <c r="J23" s="25">
        <f>IF(OR(H23="",I23=""),"",ROUND(I23-H23,2))</f>
        <v/>
      </c>
      <c r="K23" s="7">
        <f>IF(J23="","",IF(ABS(J23)&lt;0.005,"Reconciled","Variance"))</f>
        <v/>
      </c>
      <c r="L23" s="4" t="n"/>
      <c r="M23" s="4" t="n"/>
    </row>
    <row r="24">
      <c r="A24" s="4" t="n"/>
      <c r="B24" s="4" t="n"/>
      <c r="C24" s="4" t="n"/>
      <c r="D24" s="4" t="n"/>
      <c r="E24" s="24" t="n"/>
      <c r="F24" s="24" t="n"/>
      <c r="G24" s="24" t="n"/>
      <c r="H24" s="25">
        <f>IF(E24="","",E24+F24-G24)</f>
        <v/>
      </c>
      <c r="I24" s="24" t="n"/>
      <c r="J24" s="25">
        <f>IF(OR(H24="",I24=""),"",ROUND(I24-H24,2))</f>
        <v/>
      </c>
      <c r="K24" s="7">
        <f>IF(J24="","",IF(ABS(J24)&lt;0.005,"Reconciled","Variance"))</f>
        <v/>
      </c>
      <c r="L24" s="4" t="n"/>
      <c r="M24" s="4" t="n"/>
    </row>
    <row r="25">
      <c r="A25" s="4" t="n"/>
      <c r="B25" s="4" t="n"/>
      <c r="C25" s="4" t="n"/>
      <c r="D25" s="4" t="n"/>
      <c r="E25" s="24" t="n"/>
      <c r="F25" s="24" t="n"/>
      <c r="G25" s="24" t="n"/>
      <c r="H25" s="25">
        <f>IF(E25="","",E25+F25-G25)</f>
        <v/>
      </c>
      <c r="I25" s="24" t="n"/>
      <c r="J25" s="25">
        <f>IF(OR(H25="",I25=""),"",ROUND(I25-H25,2))</f>
        <v/>
      </c>
      <c r="K25" s="7">
        <f>IF(J25="","",IF(ABS(J25)&lt;0.005,"Reconciled","Variance"))</f>
        <v/>
      </c>
      <c r="L25" s="4" t="n"/>
      <c r="M25" s="4" t="n"/>
    </row>
    <row r="26">
      <c r="A26" s="4" t="n"/>
      <c r="B26" s="4" t="n"/>
      <c r="C26" s="4" t="n"/>
      <c r="D26" s="4" t="n"/>
      <c r="E26" s="24" t="n"/>
      <c r="F26" s="24" t="n"/>
      <c r="G26" s="24" t="n"/>
      <c r="H26" s="25">
        <f>IF(E26="","",E26+F26-G26)</f>
        <v/>
      </c>
      <c r="I26" s="24" t="n"/>
      <c r="J26" s="25">
        <f>IF(OR(H26="",I26=""),"",ROUND(I26-H26,2))</f>
        <v/>
      </c>
      <c r="K26" s="7">
        <f>IF(J26="","",IF(ABS(J26)&lt;0.005,"Reconciled","Variance"))</f>
        <v/>
      </c>
      <c r="L26" s="4" t="n"/>
      <c r="M26" s="4" t="n"/>
    </row>
    <row r="27">
      <c r="A27" s="4" t="n"/>
      <c r="B27" s="4" t="n"/>
      <c r="C27" s="4" t="n"/>
      <c r="D27" s="4" t="n"/>
      <c r="E27" s="24" t="n"/>
      <c r="F27" s="24" t="n"/>
      <c r="G27" s="24" t="n"/>
      <c r="H27" s="25">
        <f>IF(E27="","",E27+F27-G27)</f>
        <v/>
      </c>
      <c r="I27" s="24" t="n"/>
      <c r="J27" s="25">
        <f>IF(OR(H27="",I27=""),"",ROUND(I27-H27,2))</f>
        <v/>
      </c>
      <c r="K27" s="7">
        <f>IF(J27="","",IF(ABS(J27)&lt;0.005,"Reconciled","Variance"))</f>
        <v/>
      </c>
      <c r="L27" s="4" t="n"/>
      <c r="M27" s="4" t="n"/>
    </row>
    <row r="28">
      <c r="A28" s="4" t="n"/>
      <c r="B28" s="4" t="n"/>
      <c r="C28" s="4" t="n"/>
      <c r="D28" s="4" t="n"/>
      <c r="E28" s="24" t="n"/>
      <c r="F28" s="24" t="n"/>
      <c r="G28" s="24" t="n"/>
      <c r="H28" s="25">
        <f>IF(E28="","",E28+F28-G28)</f>
        <v/>
      </c>
      <c r="I28" s="24" t="n"/>
      <c r="J28" s="25">
        <f>IF(OR(H28="",I28=""),"",ROUND(I28-H28,2))</f>
        <v/>
      </c>
      <c r="K28" s="7">
        <f>IF(J28="","",IF(ABS(J28)&lt;0.005,"Reconciled","Variance"))</f>
        <v/>
      </c>
      <c r="L28" s="4" t="n"/>
      <c r="M28" s="4" t="n"/>
    </row>
    <row r="29">
      <c r="A29" s="4" t="n"/>
      <c r="B29" s="4" t="n"/>
      <c r="C29" s="4" t="n"/>
      <c r="D29" s="4" t="n"/>
      <c r="E29" s="24" t="n"/>
      <c r="F29" s="24" t="n"/>
      <c r="G29" s="24" t="n"/>
      <c r="H29" s="25">
        <f>IF(E29="","",E29+F29-G29)</f>
        <v/>
      </c>
      <c r="I29" s="24" t="n"/>
      <c r="J29" s="25">
        <f>IF(OR(H29="",I29=""),"",ROUND(I29-H29,2))</f>
        <v/>
      </c>
      <c r="K29" s="7">
        <f>IF(J29="","",IF(ABS(J29)&lt;0.005,"Reconciled","Variance"))</f>
        <v/>
      </c>
      <c r="L29" s="4" t="n"/>
      <c r="M29" s="4" t="n"/>
    </row>
    <row r="30">
      <c r="A30" s="4" t="n"/>
      <c r="B30" s="4" t="n"/>
      <c r="C30" s="4" t="n"/>
      <c r="D30" s="4" t="n"/>
      <c r="E30" s="24" t="n"/>
      <c r="F30" s="24" t="n"/>
      <c r="G30" s="24" t="n"/>
      <c r="H30" s="25">
        <f>IF(E30="","",E30+F30-G30)</f>
        <v/>
      </c>
      <c r="I30" s="24" t="n"/>
      <c r="J30" s="25">
        <f>IF(OR(H30="",I30=""),"",ROUND(I30-H30,2))</f>
        <v/>
      </c>
      <c r="K30" s="7">
        <f>IF(J30="","",IF(ABS(J30)&lt;0.005,"Reconciled","Variance"))</f>
        <v/>
      </c>
      <c r="L30" s="4" t="n"/>
      <c r="M30" s="4" t="n"/>
    </row>
    <row r="31">
      <c r="A31" s="4" t="n"/>
      <c r="B31" s="4" t="n"/>
      <c r="C31" s="4" t="n"/>
      <c r="D31" s="4" t="n"/>
      <c r="E31" s="24" t="n"/>
      <c r="F31" s="24" t="n"/>
      <c r="G31" s="24" t="n"/>
      <c r="H31" s="25">
        <f>IF(E31="","",E31+F31-G31)</f>
        <v/>
      </c>
      <c r="I31" s="24" t="n"/>
      <c r="J31" s="25">
        <f>IF(OR(H31="",I31=""),"",ROUND(I31-H31,2))</f>
        <v/>
      </c>
      <c r="K31" s="7">
        <f>IF(J31="","",IF(ABS(J31)&lt;0.005,"Reconciled","Variance"))</f>
        <v/>
      </c>
      <c r="L31" s="4" t="n"/>
      <c r="M31" s="4" t="n"/>
    </row>
    <row r="32">
      <c r="A32" s="4" t="n"/>
      <c r="B32" s="4" t="n"/>
      <c r="C32" s="4" t="n"/>
      <c r="D32" s="4" t="n"/>
      <c r="E32" s="24" t="n"/>
      <c r="F32" s="24" t="n"/>
      <c r="G32" s="24" t="n"/>
      <c r="H32" s="25">
        <f>IF(E32="","",E32+F32-G32)</f>
        <v/>
      </c>
      <c r="I32" s="24" t="n"/>
      <c r="J32" s="25">
        <f>IF(OR(H32="",I32=""),"",ROUND(I32-H32,2))</f>
        <v/>
      </c>
      <c r="K32" s="7">
        <f>IF(J32="","",IF(ABS(J32)&lt;0.005,"Reconciled","Variance"))</f>
        <v/>
      </c>
      <c r="L32" s="4" t="n"/>
      <c r="M32" s="4" t="n"/>
    </row>
    <row r="33">
      <c r="A33" s="4" t="n"/>
      <c r="B33" s="4" t="n"/>
      <c r="C33" s="4" t="n"/>
      <c r="D33" s="4" t="n"/>
      <c r="E33" s="24" t="n"/>
      <c r="F33" s="24" t="n"/>
      <c r="G33" s="24" t="n"/>
      <c r="H33" s="25">
        <f>IF(E33="","",E33+F33-G33)</f>
        <v/>
      </c>
      <c r="I33" s="24" t="n"/>
      <c r="J33" s="25">
        <f>IF(OR(H33="",I33=""),"",ROUND(I33-H33,2))</f>
        <v/>
      </c>
      <c r="K33" s="7">
        <f>IF(J33="","",IF(ABS(J33)&lt;0.005,"Reconciled","Variance"))</f>
        <v/>
      </c>
      <c r="L33" s="4" t="n"/>
      <c r="M33" s="4" t="n"/>
    </row>
    <row r="34">
      <c r="A34" s="4" t="n"/>
      <c r="B34" s="4" t="n"/>
      <c r="C34" s="4" t="n"/>
      <c r="D34" s="4" t="n"/>
      <c r="E34" s="24" t="n"/>
      <c r="F34" s="24" t="n"/>
      <c r="G34" s="24" t="n"/>
      <c r="H34" s="25">
        <f>IF(E34="","",E34+F34-G34)</f>
        <v/>
      </c>
      <c r="I34" s="24" t="n"/>
      <c r="J34" s="25">
        <f>IF(OR(H34="",I34=""),"",ROUND(I34-H34,2))</f>
        <v/>
      </c>
      <c r="K34" s="7">
        <f>IF(J34="","",IF(ABS(J34)&lt;0.005,"Reconciled","Variance"))</f>
        <v/>
      </c>
      <c r="L34" s="4" t="n"/>
      <c r="M34" s="4" t="n"/>
    </row>
    <row r="35">
      <c r="A35" s="4" t="n"/>
      <c r="B35" s="4" t="n"/>
      <c r="C35" s="4" t="n"/>
      <c r="D35" s="4" t="n"/>
      <c r="E35" s="24" t="n"/>
      <c r="F35" s="24" t="n"/>
      <c r="G35" s="24" t="n"/>
      <c r="H35" s="25">
        <f>IF(E35="","",E35+F35-G35)</f>
        <v/>
      </c>
      <c r="I35" s="24" t="n"/>
      <c r="J35" s="25">
        <f>IF(OR(H35="",I35=""),"",ROUND(I35-H35,2))</f>
        <v/>
      </c>
      <c r="K35" s="7">
        <f>IF(J35="","",IF(ABS(J35)&lt;0.005,"Reconciled","Variance"))</f>
        <v/>
      </c>
      <c r="L35" s="4" t="n"/>
      <c r="M35" s="4" t="n"/>
    </row>
    <row r="36">
      <c r="A36" s="4" t="n"/>
      <c r="B36" s="4" t="n"/>
      <c r="C36" s="4" t="n"/>
      <c r="D36" s="4" t="n"/>
      <c r="E36" s="24" t="n"/>
      <c r="F36" s="24" t="n"/>
      <c r="G36" s="24" t="n"/>
      <c r="H36" s="25">
        <f>IF(E36="","",E36+F36-G36)</f>
        <v/>
      </c>
      <c r="I36" s="24" t="n"/>
      <c r="J36" s="25">
        <f>IF(OR(H36="",I36=""),"",ROUND(I36-H36,2))</f>
        <v/>
      </c>
      <c r="K36" s="7">
        <f>IF(J36="","",IF(ABS(J36)&lt;0.005,"Reconciled","Variance"))</f>
        <v/>
      </c>
      <c r="L36" s="4" t="n"/>
      <c r="M36" s="4" t="n"/>
    </row>
    <row r="37">
      <c r="A37" s="4" t="n"/>
      <c r="B37" s="4" t="n"/>
      <c r="C37" s="4" t="n"/>
      <c r="D37" s="4" t="n"/>
      <c r="E37" s="24" t="n"/>
      <c r="F37" s="24" t="n"/>
      <c r="G37" s="24" t="n"/>
      <c r="H37" s="25">
        <f>IF(E37="","",E37+F37-G37)</f>
        <v/>
      </c>
      <c r="I37" s="24" t="n"/>
      <c r="J37" s="25">
        <f>IF(OR(H37="",I37=""),"",ROUND(I37-H37,2))</f>
        <v/>
      </c>
      <c r="K37" s="7">
        <f>IF(J37="","",IF(ABS(J37)&lt;0.005,"Reconciled","Variance"))</f>
        <v/>
      </c>
      <c r="L37" s="4" t="n"/>
      <c r="M37" s="4" t="n"/>
    </row>
    <row r="38">
      <c r="A38" s="4" t="n"/>
      <c r="B38" s="4" t="n"/>
      <c r="C38" s="4" t="n"/>
      <c r="D38" s="4" t="n"/>
      <c r="E38" s="24" t="n"/>
      <c r="F38" s="24" t="n"/>
      <c r="G38" s="24" t="n"/>
      <c r="H38" s="25">
        <f>IF(E38="","",E38+F38-G38)</f>
        <v/>
      </c>
      <c r="I38" s="24" t="n"/>
      <c r="J38" s="25">
        <f>IF(OR(H38="",I38=""),"",ROUND(I38-H38,2))</f>
        <v/>
      </c>
      <c r="K38" s="7">
        <f>IF(J38="","",IF(ABS(J38)&lt;0.005,"Reconciled","Variance"))</f>
        <v/>
      </c>
      <c r="L38" s="4" t="n"/>
      <c r="M38" s="4" t="n"/>
    </row>
    <row r="39">
      <c r="A39" s="4" t="n"/>
      <c r="B39" s="4" t="n"/>
      <c r="C39" s="4" t="n"/>
      <c r="D39" s="4" t="n"/>
      <c r="E39" s="24" t="n"/>
      <c r="F39" s="24" t="n"/>
      <c r="G39" s="24" t="n"/>
      <c r="H39" s="25">
        <f>IF(E39="","",E39+F39-G39)</f>
        <v/>
      </c>
      <c r="I39" s="24" t="n"/>
      <c r="J39" s="25">
        <f>IF(OR(H39="",I39=""),"",ROUND(I39-H39,2))</f>
        <v/>
      </c>
      <c r="K39" s="7">
        <f>IF(J39="","",IF(ABS(J39)&lt;0.005,"Reconciled","Variance"))</f>
        <v/>
      </c>
      <c r="L39" s="4" t="n"/>
      <c r="M39" s="4" t="n"/>
    </row>
    <row r="40">
      <c r="A40" s="26" t="inlineStr">
        <is>
          <t>Total</t>
        </is>
      </c>
      <c r="B40" s="26" t="n"/>
      <c r="C40" s="26" t="n"/>
      <c r="D40" s="26" t="n"/>
      <c r="E40" s="26" t="n"/>
      <c r="F40" s="27">
        <f>SUM(F9:F39)</f>
        <v/>
      </c>
      <c r="G40" s="27">
        <f>SUM(G9:G39)</f>
        <v/>
      </c>
      <c r="H40" s="26" t="n"/>
      <c r="I40" s="26" t="n"/>
      <c r="J40" s="26" t="n"/>
      <c r="K40" s="26" t="n"/>
      <c r="L40" s="26" t="n"/>
      <c r="M40" s="26" t="n"/>
    </row>
  </sheetData>
  <mergeCells count="1">
    <mergeCell ref="A4:M6"/>
  </mergeCells>
  <dataValidations count="31">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 sqref="L9:L39" showDropDown="0" showInputMessage="0" showErrorMessage="0" allowBlank="1" type="list">
      <formula1>"Reconciled,Variance,Needs Review"</formula1>
    </dataValidation>
  </dataValidations>
  <pageMargins left="0.75" right="0.75" top="1" bottom="1" header="0.5" footer="0.5"/>
  <pageSetup orientation="landscape" fitToHeight="0" fitToWidth="1"/>
  <headerFooter>
    <oddHeader/>
    <oddFooter>&amp;LWorkpaper B-1&amp;RPage &amp;P of &amp;N</oddFooter>
    <evenHeader/>
    <evenFooter/>
    <firstHeader/>
    <firstFooter/>
  </headerFooter>
</worksheet>
</file>

<file path=xl/worksheets/sheet5.xml><?xml version="1.0" encoding="utf-8"?>
<worksheet xmlns="http://schemas.openxmlformats.org/spreadsheetml/2006/main">
  <sheetPr>
    <tabColor rgb="00246094"/>
    <outlinePr summaryBelow="1" summaryRight="1"/>
    <pageSetUpPr fitToPage="1"/>
  </sheetPr>
  <dimension ref="A1:F27"/>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s>
  <sheetData>
    <row r="1">
      <c r="A1" s="12">
        <f>IF(Index!$C$4="","[Case name: fill in on the Index]",Index!$C$4)</f>
        <v/>
      </c>
      <c r="E1" s="13" t="inlineStr">
        <is>
          <t>Prepared by / date</t>
        </is>
      </c>
      <c r="F1" s="4" t="n"/>
    </row>
    <row r="2" ht="22" customHeight="1">
      <c r="A2" s="14" t="inlineStr">
        <is>
          <t>B-2  Sources and uses of funds</t>
        </is>
      </c>
      <c r="E2" s="13" t="inlineStr">
        <is>
          <t>Reviewed by / date</t>
        </is>
      </c>
      <c r="F2" s="4" t="n"/>
    </row>
    <row r="4">
      <c r="A4" s="15" t="inlineStr">
        <is>
          <t>One account per block (copy the block for each account). Rename the categories to fit the case. Sources are money in; uses are money out, grouped so the unusual stands out (payments to the subject, cash, gambling). The check row should be zero: if it isn't, a transaction is missing or double-counted.</t>
        </is>
      </c>
    </row>
    <row r="5"/>
    <row r="6"/>
    <row r="8">
      <c r="A8" s="5" t="inlineStr">
        <is>
          <t>Account: ________________</t>
        </is>
      </c>
      <c r="B8" s="5" t="inlineStr">
        <is>
          <t>Month 1</t>
        </is>
      </c>
      <c r="C8" s="5" t="inlineStr">
        <is>
          <t>Month 2</t>
        </is>
      </c>
      <c r="D8" s="5" t="inlineStr">
        <is>
          <t>Month 3</t>
        </is>
      </c>
      <c r="E8" s="5" t="inlineStr">
        <is>
          <t>Total</t>
        </is>
      </c>
      <c r="F8" s="5" t="inlineStr">
        <is>
          <t>Notes</t>
        </is>
      </c>
    </row>
    <row r="9">
      <c r="A9" s="7" t="inlineStr">
        <is>
          <t>Opening balance</t>
        </is>
      </c>
      <c r="B9" s="24" t="n"/>
      <c r="C9" s="28">
        <f>IF(B26="",B25,B26)</f>
        <v/>
      </c>
      <c r="D9" s="28">
        <f>IF(C26="",C25,C26)</f>
        <v/>
      </c>
      <c r="E9" s="27">
        <f>B9</f>
        <v/>
      </c>
      <c r="F9" s="4" t="n"/>
    </row>
    <row r="10">
      <c r="A10" s="3" t="inlineStr">
        <is>
          <t>Sources</t>
        </is>
      </c>
    </row>
    <row r="11">
      <c r="A11" s="7" t="inlineStr">
        <is>
          <t xml:space="preserve">  Pension</t>
        </is>
      </c>
      <c r="B11" s="24" t="n"/>
      <c r="C11" s="24" t="n"/>
      <c r="D11" s="24" t="n"/>
      <c r="E11" s="27">
        <f>SUM(B11:D11)</f>
        <v/>
      </c>
      <c r="F11" s="4" t="n"/>
    </row>
    <row r="12">
      <c r="A12" s="7" t="inlineStr">
        <is>
          <t xml:space="preserve">  Social Security</t>
        </is>
      </c>
      <c r="B12" s="24" t="n"/>
      <c r="C12" s="24" t="n"/>
      <c r="D12" s="24" t="n"/>
      <c r="E12" s="27">
        <f>SUM(B12:D12)</f>
        <v/>
      </c>
      <c r="F12" s="4" t="n"/>
    </row>
    <row r="13">
      <c r="A13" s="7" t="inlineStr">
        <is>
          <t xml:space="preserve">  CD maturity / transfers from savings</t>
        </is>
      </c>
      <c r="B13" s="24" t="n"/>
      <c r="C13" s="24" t="n"/>
      <c r="D13" s="24" t="n"/>
      <c r="E13" s="27">
        <f>SUM(B13:D13)</f>
        <v/>
      </c>
      <c r="F13" s="4" t="n"/>
    </row>
    <row r="14">
      <c r="A14" s="7" t="inlineStr">
        <is>
          <t xml:space="preserve">  Other deposits</t>
        </is>
      </c>
      <c r="B14" s="24" t="n"/>
      <c r="C14" s="24" t="n"/>
      <c r="D14" s="24" t="n"/>
      <c r="E14" s="27">
        <f>SUM(B14:D14)</f>
        <v/>
      </c>
      <c r="F14" s="4" t="n"/>
    </row>
    <row r="15">
      <c r="A15" s="26" t="inlineStr">
        <is>
          <t>Total sources</t>
        </is>
      </c>
      <c r="B15" s="27">
        <f>SUM(B11:B14)</f>
        <v/>
      </c>
      <c r="C15" s="27">
        <f>SUM(C11:C14)</f>
        <v/>
      </c>
      <c r="D15" s="27">
        <f>SUM(D11:D14)</f>
        <v/>
      </c>
      <c r="E15" s="27">
        <f>SUM(B15:D15)</f>
        <v/>
      </c>
      <c r="F15" s="4" t="n"/>
    </row>
    <row r="16">
      <c r="A16" s="3" t="inlineStr">
        <is>
          <t>Uses</t>
        </is>
      </c>
    </row>
    <row r="17">
      <c r="A17" s="7" t="inlineStr">
        <is>
          <t xml:space="preserve">  Ordinary living expenses (utilities, groceries, insurance)</t>
        </is>
      </c>
      <c r="B17" s="24" t="n"/>
      <c r="C17" s="24" t="n"/>
      <c r="D17" s="24" t="n"/>
      <c r="E17" s="27">
        <f>SUM(B17:D17)</f>
        <v/>
      </c>
      <c r="F17" s="4" t="n"/>
    </row>
    <row r="18">
      <c r="A18" s="7" t="inlineStr">
        <is>
          <t xml:space="preserve">  Payments to the subject or related parties</t>
        </is>
      </c>
      <c r="B18" s="24" t="n"/>
      <c r="C18" s="24" t="n"/>
      <c r="D18" s="24" t="n"/>
      <c r="E18" s="27">
        <f>SUM(B18:D18)</f>
        <v/>
      </c>
      <c r="F18" s="4" t="n"/>
    </row>
    <row r="19">
      <c r="A19" s="7" t="inlineStr">
        <is>
          <t xml:space="preserve">  Cash withdrawals (branch and ATM)</t>
        </is>
      </c>
      <c r="B19" s="24" t="n"/>
      <c r="C19" s="24" t="n"/>
      <c r="D19" s="24" t="n"/>
      <c r="E19" s="27">
        <f>SUM(B19:D19)</f>
        <v/>
      </c>
      <c r="F19" s="4" t="n"/>
    </row>
    <row r="20">
      <c r="A20" s="7" t="inlineStr">
        <is>
          <t xml:space="preserve">  Gambling</t>
        </is>
      </c>
      <c r="B20" s="24" t="n"/>
      <c r="C20" s="24" t="n"/>
      <c r="D20" s="24" t="n"/>
      <c r="E20" s="27">
        <f>SUM(B20:D20)</f>
        <v/>
      </c>
      <c r="F20" s="4" t="n"/>
    </row>
    <row r="21">
      <c r="A21" s="7" t="inlineStr">
        <is>
          <t xml:space="preserve">  Gift cards</t>
        </is>
      </c>
      <c r="B21" s="24" t="n"/>
      <c r="C21" s="24" t="n"/>
      <c r="D21" s="24" t="n"/>
      <c r="E21" s="27">
        <f>SUM(B21:D21)</f>
        <v/>
      </c>
      <c r="F21" s="4" t="n"/>
    </row>
    <row r="22">
      <c r="A22" s="7" t="inlineStr">
        <is>
          <t xml:space="preserve">  Fees (overdraft, wire, ATM)</t>
        </is>
      </c>
      <c r="B22" s="24" t="n"/>
      <c r="C22" s="24" t="n"/>
      <c r="D22" s="24" t="n"/>
      <c r="E22" s="27">
        <f>SUM(B22:D22)</f>
        <v/>
      </c>
      <c r="F22" s="4" t="n"/>
    </row>
    <row r="23">
      <c r="A23" s="7" t="inlineStr">
        <is>
          <t xml:space="preserve">  Other</t>
        </is>
      </c>
      <c r="B23" s="24" t="n"/>
      <c r="C23" s="24" t="n"/>
      <c r="D23" s="24" t="n"/>
      <c r="E23" s="27">
        <f>SUM(B23:D23)</f>
        <v/>
      </c>
      <c r="F23" s="4" t="n"/>
    </row>
    <row r="24">
      <c r="A24" s="26" t="inlineStr">
        <is>
          <t>Total uses</t>
        </is>
      </c>
      <c r="B24" s="27">
        <f>SUM(B17:B23)</f>
        <v/>
      </c>
      <c r="C24" s="27">
        <f>SUM(C17:C23)</f>
        <v/>
      </c>
      <c r="D24" s="27">
        <f>SUM(D17:D23)</f>
        <v/>
      </c>
      <c r="E24" s="27">
        <f>SUM(B24:D24)</f>
        <v/>
      </c>
      <c r="F24" s="4" t="n"/>
    </row>
    <row r="25">
      <c r="A25" s="26" t="inlineStr">
        <is>
          <t>Computed ending balance</t>
        </is>
      </c>
      <c r="B25" s="27">
        <f>B9+B15-B24</f>
        <v/>
      </c>
      <c r="C25" s="27">
        <f>C9+C15-C24</f>
        <v/>
      </c>
      <c r="D25" s="27">
        <f>D9+D15-D24</f>
        <v/>
      </c>
      <c r="E25" s="27">
        <f>D25</f>
        <v/>
      </c>
      <c r="F25" s="4" t="n"/>
    </row>
    <row r="26">
      <c r="A26" s="7" t="inlineStr">
        <is>
          <t>Ending balance per statement</t>
        </is>
      </c>
      <c r="B26" s="24" t="n"/>
      <c r="C26" s="24" t="n"/>
      <c r="D26" s="24" t="n"/>
      <c r="E26" s="27">
        <f>D26</f>
        <v/>
      </c>
      <c r="F26" s="4" t="n"/>
    </row>
    <row r="27">
      <c r="A27" s="26" t="inlineStr">
        <is>
          <t>Check (should be 0)</t>
        </is>
      </c>
      <c r="B27" s="27">
        <f>ROUND(B26-B25,2)</f>
        <v/>
      </c>
      <c r="C27" s="27">
        <f>ROUND(C26-C25,2)</f>
        <v/>
      </c>
      <c r="D27" s="27">
        <f>ROUND(D26-D25,2)</f>
        <v/>
      </c>
      <c r="E27" s="27">
        <f>ROUND(E26-E25,2)</f>
        <v/>
      </c>
      <c r="F27" s="4" t="n"/>
    </row>
  </sheetData>
  <mergeCells count="1">
    <mergeCell ref="A4:F6"/>
  </mergeCells>
  <pageMargins left="0.75" right="0.75" top="1" bottom="1" header="0.5" footer="0.5"/>
  <pageSetup orientation="landscape" fitToHeight="0" fitToWidth="1"/>
  <headerFooter>
    <oddHeader/>
    <oddFooter>&amp;LWorkpaper B-2&amp;RPage &amp;P of &amp;N</oddFooter>
    <evenHeader/>
    <evenFooter/>
    <firstHeader/>
    <firstFooter/>
  </headerFooter>
</worksheet>
</file>

<file path=xl/worksheets/sheet6.xml><?xml version="1.0" encoding="utf-8"?>
<worksheet xmlns="http://schemas.openxmlformats.org/spreadsheetml/2006/main">
  <sheetPr>
    <tabColor rgb="00246094"/>
    <outlinePr summaryBelow="1" summaryRight="1"/>
    <pageSetUpPr fitToPage="1"/>
  </sheetPr>
  <dimension ref="A1:O50"/>
  <sheetViews>
    <sheetView showGridLines="0" workbookViewId="0">
      <pane ySplit="8" topLeftCell="A9" activePane="bottomLeft" state="frozen"/>
      <selection pane="bottomLeft" activeCell="A1" sqref="A1"/>
    </sheetView>
  </sheetViews>
  <sheetFormatPr baseColWidth="8" defaultRowHeight="15"/>
  <cols>
    <col width="7" customWidth="1" min="1" max="1"/>
    <col width="11" customWidth="1" min="2" max="2"/>
    <col width="20" customWidth="1" min="3" max="3"/>
    <col width="34" customWidth="1" min="4" max="4"/>
    <col width="13" customWidth="1" min="5" max="5"/>
    <col width="13" customWidth="1" min="6" max="6"/>
    <col width="22" customWidth="1" min="7" max="7"/>
    <col width="22" customWidth="1" min="8" max="8"/>
    <col width="11" customWidth="1" min="9" max="9"/>
    <col width="13" customWidth="1" min="10" max="10"/>
    <col width="12" customWidth="1" min="11" max="11"/>
    <col width="7" customWidth="1" min="12" max="12"/>
    <col width="9" customWidth="1" min="13" max="13"/>
    <col width="18" customWidth="1" min="14" max="14"/>
    <col width="28" customWidth="1" min="15" max="15"/>
  </cols>
  <sheetData>
    <row r="1">
      <c r="A1" s="12">
        <f>IF(Index!$C$4="","[Case name: fill in on the Index]",Index!$C$4)</f>
        <v/>
      </c>
      <c r="N1" s="13" t="inlineStr">
        <is>
          <t>Prepared by / date</t>
        </is>
      </c>
      <c r="O1" s="4" t="n"/>
    </row>
    <row r="2" ht="22" customHeight="1">
      <c r="A2" s="14" t="inlineStr">
        <is>
          <t>C-1  Fund tracing</t>
        </is>
      </c>
      <c r="N2" s="13" t="inlineStr">
        <is>
          <t>Reviewed by / date</t>
        </is>
      </c>
      <c r="O2" s="4" t="n"/>
    </row>
    <row r="4">
      <c r="A4" s="15" t="inlineStr">
        <is>
          <t>Follow each significant payment out of the victim's accounts to where it arrived. One row per payment. Match by amount, date (usually 0 to 3 business days later) and reference: check endorsements, wire beneficiary details, Zelle confirmation numbers. Traced = found arriving in a named account. The summary below the table totals what was traced by method.</t>
        </is>
      </c>
    </row>
    <row r="5"/>
    <row r="6"/>
    <row r="8" ht="30" customHeight="1">
      <c r="A8" s="5" t="inlineStr">
        <is>
          <t>Trace #</t>
        </is>
      </c>
      <c r="B8" s="5" t="inlineStr">
        <is>
          <t>Date out</t>
        </is>
      </c>
      <c r="C8" s="5" t="inlineStr">
        <is>
          <t>From (bank / account)</t>
        </is>
      </c>
      <c r="D8" s="5" t="inlineStr">
        <is>
          <t>Description on statement</t>
        </is>
      </c>
      <c r="E8" s="5" t="inlineStr">
        <is>
          <t>Amount out</t>
        </is>
      </c>
      <c r="F8" s="5" t="inlineStr">
        <is>
          <t>Method</t>
        </is>
      </c>
      <c r="G8" s="5" t="inlineStr">
        <is>
          <t>Recipient</t>
        </is>
      </c>
      <c r="H8" s="5" t="inlineStr">
        <is>
          <t>Receiving bank / account</t>
        </is>
      </c>
      <c r="I8" s="5" t="inlineStr">
        <is>
          <t>Date in</t>
        </is>
      </c>
      <c r="J8" s="5" t="inlineStr">
        <is>
          <t>Amount in</t>
        </is>
      </c>
      <c r="K8" s="5" t="inlineStr">
        <is>
          <t>Difference</t>
        </is>
      </c>
      <c r="L8" s="5" t="inlineStr">
        <is>
          <t>Days</t>
        </is>
      </c>
      <c r="M8" s="5" t="inlineStr">
        <is>
          <t>Traced?</t>
        </is>
      </c>
      <c r="N8" s="5" t="inlineStr">
        <is>
          <t>Evidence (doc / WP ref)</t>
        </is>
      </c>
      <c r="O8" s="5" t="inlineStr">
        <is>
          <t>Notes</t>
        </is>
      </c>
    </row>
    <row r="9">
      <c r="A9" s="16" t="n">
        <v>1</v>
      </c>
      <c r="B9" s="19" t="n">
        <v>45762</v>
      </c>
      <c r="C9" s="17" t="inlineStr">
        <is>
          <t>Larkspur 8701</t>
        </is>
      </c>
      <c r="D9" s="17" t="inlineStr">
        <is>
          <t>WIRE TRANSFER OUT DP COMPANION CARE LLC REF 88213</t>
        </is>
      </c>
      <c r="E9" s="21" t="n">
        <v>24000</v>
      </c>
      <c r="F9" s="17" t="inlineStr">
        <is>
          <t>Wire</t>
        </is>
      </c>
      <c r="G9" s="17" t="inlineStr">
        <is>
          <t>DP Companion Care LLC</t>
        </is>
      </c>
      <c r="H9" s="17" t="inlineStr">
        <is>
          <t>Quillbrook CU 70033390</t>
        </is>
      </c>
      <c r="I9" s="19" t="n">
        <v>45762</v>
      </c>
      <c r="J9" s="21" t="n">
        <v>24000</v>
      </c>
      <c r="K9" s="22">
        <f>IF(OR(E9="",J9=""),"",ROUND(J9-E9,2))</f>
        <v/>
      </c>
      <c r="L9" s="29">
        <f>IF(OR(B9="",I9=""),"",I9-B9)</f>
        <v/>
      </c>
      <c r="M9" s="17" t="inlineStr">
        <is>
          <t>Yes</t>
        </is>
      </c>
      <c r="N9" s="17" t="inlineStr">
        <is>
          <t>Docs 2, 7; Exhibit G</t>
        </is>
      </c>
      <c r="O9" s="17" t="inlineStr">
        <is>
          <t>$18,750 left next day as check 1001 (SUV)</t>
        </is>
      </c>
    </row>
    <row r="10">
      <c r="A10" s="18" t="n"/>
      <c r="B10" s="20" t="n"/>
      <c r="C10" s="4" t="n"/>
      <c r="D10" s="4" t="n"/>
      <c r="E10" s="24" t="n"/>
      <c r="F10" s="4" t="n"/>
      <c r="G10" s="4" t="n"/>
      <c r="H10" s="4" t="n"/>
      <c r="I10" s="20" t="n"/>
      <c r="J10" s="24" t="n"/>
      <c r="K10" s="25">
        <f>IF(OR(E10="",J10=""),"",ROUND(J10-E10,2))</f>
        <v/>
      </c>
      <c r="L10" s="30">
        <f>IF(OR(B10="",I10=""),"",I10-B10)</f>
        <v/>
      </c>
      <c r="M10" s="4" t="n"/>
      <c r="N10" s="4" t="n"/>
      <c r="O10" s="4" t="n"/>
    </row>
    <row r="11">
      <c r="A11" s="18" t="n"/>
      <c r="B11" s="20" t="n"/>
      <c r="C11" s="4" t="n"/>
      <c r="D11" s="4" t="n"/>
      <c r="E11" s="24" t="n"/>
      <c r="F11" s="4" t="n"/>
      <c r="G11" s="4" t="n"/>
      <c r="H11" s="4" t="n"/>
      <c r="I11" s="20" t="n"/>
      <c r="J11" s="24" t="n"/>
      <c r="K11" s="25">
        <f>IF(OR(E11="",J11=""),"",ROUND(J11-E11,2))</f>
        <v/>
      </c>
      <c r="L11" s="30">
        <f>IF(OR(B11="",I11=""),"",I11-B11)</f>
        <v/>
      </c>
      <c r="M11" s="4" t="n"/>
      <c r="N11" s="4" t="n"/>
      <c r="O11" s="4" t="n"/>
    </row>
    <row r="12">
      <c r="A12" s="18" t="n"/>
      <c r="B12" s="20" t="n"/>
      <c r="C12" s="4" t="n"/>
      <c r="D12" s="4" t="n"/>
      <c r="E12" s="24" t="n"/>
      <c r="F12" s="4" t="n"/>
      <c r="G12" s="4" t="n"/>
      <c r="H12" s="4" t="n"/>
      <c r="I12" s="20" t="n"/>
      <c r="J12" s="24" t="n"/>
      <c r="K12" s="25">
        <f>IF(OR(E12="",J12=""),"",ROUND(J12-E12,2))</f>
        <v/>
      </c>
      <c r="L12" s="30">
        <f>IF(OR(B12="",I12=""),"",I12-B12)</f>
        <v/>
      </c>
      <c r="M12" s="4" t="n"/>
      <c r="N12" s="4" t="n"/>
      <c r="O12" s="4" t="n"/>
    </row>
    <row r="13">
      <c r="A13" s="18" t="n"/>
      <c r="B13" s="20" t="n"/>
      <c r="C13" s="4" t="n"/>
      <c r="D13" s="4" t="n"/>
      <c r="E13" s="24" t="n"/>
      <c r="F13" s="4" t="n"/>
      <c r="G13" s="4" t="n"/>
      <c r="H13" s="4" t="n"/>
      <c r="I13" s="20" t="n"/>
      <c r="J13" s="24" t="n"/>
      <c r="K13" s="25">
        <f>IF(OR(E13="",J13=""),"",ROUND(J13-E13,2))</f>
        <v/>
      </c>
      <c r="L13" s="30">
        <f>IF(OR(B13="",I13=""),"",I13-B13)</f>
        <v/>
      </c>
      <c r="M13" s="4" t="n"/>
      <c r="N13" s="4" t="n"/>
      <c r="O13" s="4" t="n"/>
    </row>
    <row r="14">
      <c r="A14" s="18" t="n"/>
      <c r="B14" s="20" t="n"/>
      <c r="C14" s="4" t="n"/>
      <c r="D14" s="4" t="n"/>
      <c r="E14" s="24" t="n"/>
      <c r="F14" s="4" t="n"/>
      <c r="G14" s="4" t="n"/>
      <c r="H14" s="4" t="n"/>
      <c r="I14" s="20" t="n"/>
      <c r="J14" s="24" t="n"/>
      <c r="K14" s="25">
        <f>IF(OR(E14="",J14=""),"",ROUND(J14-E14,2))</f>
        <v/>
      </c>
      <c r="L14" s="30">
        <f>IF(OR(B14="",I14=""),"",I14-B14)</f>
        <v/>
      </c>
      <c r="M14" s="4" t="n"/>
      <c r="N14" s="4" t="n"/>
      <c r="O14" s="4" t="n"/>
    </row>
    <row r="15">
      <c r="A15" s="18" t="n"/>
      <c r="B15" s="20" t="n"/>
      <c r="C15" s="4" t="n"/>
      <c r="D15" s="4" t="n"/>
      <c r="E15" s="24" t="n"/>
      <c r="F15" s="4" t="n"/>
      <c r="G15" s="4" t="n"/>
      <c r="H15" s="4" t="n"/>
      <c r="I15" s="20" t="n"/>
      <c r="J15" s="24" t="n"/>
      <c r="K15" s="25">
        <f>IF(OR(E15="",J15=""),"",ROUND(J15-E15,2))</f>
        <v/>
      </c>
      <c r="L15" s="30">
        <f>IF(OR(B15="",I15=""),"",I15-B15)</f>
        <v/>
      </c>
      <c r="M15" s="4" t="n"/>
      <c r="N15" s="4" t="n"/>
      <c r="O15" s="4" t="n"/>
    </row>
    <row r="16">
      <c r="A16" s="18" t="n"/>
      <c r="B16" s="20" t="n"/>
      <c r="C16" s="4" t="n"/>
      <c r="D16" s="4" t="n"/>
      <c r="E16" s="24" t="n"/>
      <c r="F16" s="4" t="n"/>
      <c r="G16" s="4" t="n"/>
      <c r="H16" s="4" t="n"/>
      <c r="I16" s="20" t="n"/>
      <c r="J16" s="24" t="n"/>
      <c r="K16" s="25">
        <f>IF(OR(E16="",J16=""),"",ROUND(J16-E16,2))</f>
        <v/>
      </c>
      <c r="L16" s="30">
        <f>IF(OR(B16="",I16=""),"",I16-B16)</f>
        <v/>
      </c>
      <c r="M16" s="4" t="n"/>
      <c r="N16" s="4" t="n"/>
      <c r="O16" s="4" t="n"/>
    </row>
    <row r="17">
      <c r="A17" s="18" t="n"/>
      <c r="B17" s="20" t="n"/>
      <c r="C17" s="4" t="n"/>
      <c r="D17" s="4" t="n"/>
      <c r="E17" s="24" t="n"/>
      <c r="F17" s="4" t="n"/>
      <c r="G17" s="4" t="n"/>
      <c r="H17" s="4" t="n"/>
      <c r="I17" s="20" t="n"/>
      <c r="J17" s="24" t="n"/>
      <c r="K17" s="25">
        <f>IF(OR(E17="",J17=""),"",ROUND(J17-E17,2))</f>
        <v/>
      </c>
      <c r="L17" s="30">
        <f>IF(OR(B17="",I17=""),"",I17-B17)</f>
        <v/>
      </c>
      <c r="M17" s="4" t="n"/>
      <c r="N17" s="4" t="n"/>
      <c r="O17" s="4" t="n"/>
    </row>
    <row r="18">
      <c r="A18" s="18" t="n"/>
      <c r="B18" s="20" t="n"/>
      <c r="C18" s="4" t="n"/>
      <c r="D18" s="4" t="n"/>
      <c r="E18" s="24" t="n"/>
      <c r="F18" s="4" t="n"/>
      <c r="G18" s="4" t="n"/>
      <c r="H18" s="4" t="n"/>
      <c r="I18" s="20" t="n"/>
      <c r="J18" s="24" t="n"/>
      <c r="K18" s="25">
        <f>IF(OR(E18="",J18=""),"",ROUND(J18-E18,2))</f>
        <v/>
      </c>
      <c r="L18" s="30">
        <f>IF(OR(B18="",I18=""),"",I18-B18)</f>
        <v/>
      </c>
      <c r="M18" s="4" t="n"/>
      <c r="N18" s="4" t="n"/>
      <c r="O18" s="4" t="n"/>
    </row>
    <row r="19">
      <c r="A19" s="18" t="n"/>
      <c r="B19" s="20" t="n"/>
      <c r="C19" s="4" t="n"/>
      <c r="D19" s="4" t="n"/>
      <c r="E19" s="24" t="n"/>
      <c r="F19" s="4" t="n"/>
      <c r="G19" s="4" t="n"/>
      <c r="H19" s="4" t="n"/>
      <c r="I19" s="20" t="n"/>
      <c r="J19" s="24" t="n"/>
      <c r="K19" s="25">
        <f>IF(OR(E19="",J19=""),"",ROUND(J19-E19,2))</f>
        <v/>
      </c>
      <c r="L19" s="30">
        <f>IF(OR(B19="",I19=""),"",I19-B19)</f>
        <v/>
      </c>
      <c r="M19" s="4" t="n"/>
      <c r="N19" s="4" t="n"/>
      <c r="O19" s="4" t="n"/>
    </row>
    <row r="20">
      <c r="A20" s="18" t="n"/>
      <c r="B20" s="20" t="n"/>
      <c r="C20" s="4" t="n"/>
      <c r="D20" s="4" t="n"/>
      <c r="E20" s="24" t="n"/>
      <c r="F20" s="4" t="n"/>
      <c r="G20" s="4" t="n"/>
      <c r="H20" s="4" t="n"/>
      <c r="I20" s="20" t="n"/>
      <c r="J20" s="24" t="n"/>
      <c r="K20" s="25">
        <f>IF(OR(E20="",J20=""),"",ROUND(J20-E20,2))</f>
        <v/>
      </c>
      <c r="L20" s="30">
        <f>IF(OR(B20="",I20=""),"",I20-B20)</f>
        <v/>
      </c>
      <c r="M20" s="4" t="n"/>
      <c r="N20" s="4" t="n"/>
      <c r="O20" s="4" t="n"/>
    </row>
    <row r="21">
      <c r="A21" s="18" t="n"/>
      <c r="B21" s="20" t="n"/>
      <c r="C21" s="4" t="n"/>
      <c r="D21" s="4" t="n"/>
      <c r="E21" s="24" t="n"/>
      <c r="F21" s="4" t="n"/>
      <c r="G21" s="4" t="n"/>
      <c r="H21" s="4" t="n"/>
      <c r="I21" s="20" t="n"/>
      <c r="J21" s="24" t="n"/>
      <c r="K21" s="25">
        <f>IF(OR(E21="",J21=""),"",ROUND(J21-E21,2))</f>
        <v/>
      </c>
      <c r="L21" s="30">
        <f>IF(OR(B21="",I21=""),"",I21-B21)</f>
        <v/>
      </c>
      <c r="M21" s="4" t="n"/>
      <c r="N21" s="4" t="n"/>
      <c r="O21" s="4" t="n"/>
    </row>
    <row r="22">
      <c r="A22" s="18" t="n"/>
      <c r="B22" s="20" t="n"/>
      <c r="C22" s="4" t="n"/>
      <c r="D22" s="4" t="n"/>
      <c r="E22" s="24" t="n"/>
      <c r="F22" s="4" t="n"/>
      <c r="G22" s="4" t="n"/>
      <c r="H22" s="4" t="n"/>
      <c r="I22" s="20" t="n"/>
      <c r="J22" s="24" t="n"/>
      <c r="K22" s="25">
        <f>IF(OR(E22="",J22=""),"",ROUND(J22-E22,2))</f>
        <v/>
      </c>
      <c r="L22" s="30">
        <f>IF(OR(B22="",I22=""),"",I22-B22)</f>
        <v/>
      </c>
      <c r="M22" s="4" t="n"/>
      <c r="N22" s="4" t="n"/>
      <c r="O22" s="4" t="n"/>
    </row>
    <row r="23">
      <c r="A23" s="18" t="n"/>
      <c r="B23" s="20" t="n"/>
      <c r="C23" s="4" t="n"/>
      <c r="D23" s="4" t="n"/>
      <c r="E23" s="24" t="n"/>
      <c r="F23" s="4" t="n"/>
      <c r="G23" s="4" t="n"/>
      <c r="H23" s="4" t="n"/>
      <c r="I23" s="20" t="n"/>
      <c r="J23" s="24" t="n"/>
      <c r="K23" s="25">
        <f>IF(OR(E23="",J23=""),"",ROUND(J23-E23,2))</f>
        <v/>
      </c>
      <c r="L23" s="30">
        <f>IF(OR(B23="",I23=""),"",I23-B23)</f>
        <v/>
      </c>
      <c r="M23" s="4" t="n"/>
      <c r="N23" s="4" t="n"/>
      <c r="O23" s="4" t="n"/>
    </row>
    <row r="24">
      <c r="A24" s="18" t="n"/>
      <c r="B24" s="20" t="n"/>
      <c r="C24" s="4" t="n"/>
      <c r="D24" s="4" t="n"/>
      <c r="E24" s="24" t="n"/>
      <c r="F24" s="4" t="n"/>
      <c r="G24" s="4" t="n"/>
      <c r="H24" s="4" t="n"/>
      <c r="I24" s="20" t="n"/>
      <c r="J24" s="24" t="n"/>
      <c r="K24" s="25">
        <f>IF(OR(E24="",J24=""),"",ROUND(J24-E24,2))</f>
        <v/>
      </c>
      <c r="L24" s="30">
        <f>IF(OR(B24="",I24=""),"",I24-B24)</f>
        <v/>
      </c>
      <c r="M24" s="4" t="n"/>
      <c r="N24" s="4" t="n"/>
      <c r="O24" s="4" t="n"/>
    </row>
    <row r="25">
      <c r="A25" s="18" t="n"/>
      <c r="B25" s="20" t="n"/>
      <c r="C25" s="4" t="n"/>
      <c r="D25" s="4" t="n"/>
      <c r="E25" s="24" t="n"/>
      <c r="F25" s="4" t="n"/>
      <c r="G25" s="4" t="n"/>
      <c r="H25" s="4" t="n"/>
      <c r="I25" s="20" t="n"/>
      <c r="J25" s="24" t="n"/>
      <c r="K25" s="25">
        <f>IF(OR(E25="",J25=""),"",ROUND(J25-E25,2))</f>
        <v/>
      </c>
      <c r="L25" s="30">
        <f>IF(OR(B25="",I25=""),"",I25-B25)</f>
        <v/>
      </c>
      <c r="M25" s="4" t="n"/>
      <c r="N25" s="4" t="n"/>
      <c r="O25" s="4" t="n"/>
    </row>
    <row r="26">
      <c r="A26" s="18" t="n"/>
      <c r="B26" s="20" t="n"/>
      <c r="C26" s="4" t="n"/>
      <c r="D26" s="4" t="n"/>
      <c r="E26" s="24" t="n"/>
      <c r="F26" s="4" t="n"/>
      <c r="G26" s="4" t="n"/>
      <c r="H26" s="4" t="n"/>
      <c r="I26" s="20" t="n"/>
      <c r="J26" s="24" t="n"/>
      <c r="K26" s="25">
        <f>IF(OR(E26="",J26=""),"",ROUND(J26-E26,2))</f>
        <v/>
      </c>
      <c r="L26" s="30">
        <f>IF(OR(B26="",I26=""),"",I26-B26)</f>
        <v/>
      </c>
      <c r="M26" s="4" t="n"/>
      <c r="N26" s="4" t="n"/>
      <c r="O26" s="4" t="n"/>
    </row>
    <row r="27">
      <c r="A27" s="18" t="n"/>
      <c r="B27" s="20" t="n"/>
      <c r="C27" s="4" t="n"/>
      <c r="D27" s="4" t="n"/>
      <c r="E27" s="24" t="n"/>
      <c r="F27" s="4" t="n"/>
      <c r="G27" s="4" t="n"/>
      <c r="H27" s="4" t="n"/>
      <c r="I27" s="20" t="n"/>
      <c r="J27" s="24" t="n"/>
      <c r="K27" s="25">
        <f>IF(OR(E27="",J27=""),"",ROUND(J27-E27,2))</f>
        <v/>
      </c>
      <c r="L27" s="30">
        <f>IF(OR(B27="",I27=""),"",I27-B27)</f>
        <v/>
      </c>
      <c r="M27" s="4" t="n"/>
      <c r="N27" s="4" t="n"/>
      <c r="O27" s="4" t="n"/>
    </row>
    <row r="28">
      <c r="A28" s="18" t="n"/>
      <c r="B28" s="20" t="n"/>
      <c r="C28" s="4" t="n"/>
      <c r="D28" s="4" t="n"/>
      <c r="E28" s="24" t="n"/>
      <c r="F28" s="4" t="n"/>
      <c r="G28" s="4" t="n"/>
      <c r="H28" s="4" t="n"/>
      <c r="I28" s="20" t="n"/>
      <c r="J28" s="24" t="n"/>
      <c r="K28" s="25">
        <f>IF(OR(E28="",J28=""),"",ROUND(J28-E28,2))</f>
        <v/>
      </c>
      <c r="L28" s="30">
        <f>IF(OR(B28="",I28=""),"",I28-B28)</f>
        <v/>
      </c>
      <c r="M28" s="4" t="n"/>
      <c r="N28" s="4" t="n"/>
      <c r="O28" s="4" t="n"/>
    </row>
    <row r="29">
      <c r="A29" s="18" t="n"/>
      <c r="B29" s="20" t="n"/>
      <c r="C29" s="4" t="n"/>
      <c r="D29" s="4" t="n"/>
      <c r="E29" s="24" t="n"/>
      <c r="F29" s="4" t="n"/>
      <c r="G29" s="4" t="n"/>
      <c r="H29" s="4" t="n"/>
      <c r="I29" s="20" t="n"/>
      <c r="J29" s="24" t="n"/>
      <c r="K29" s="25">
        <f>IF(OR(E29="",J29=""),"",ROUND(J29-E29,2))</f>
        <v/>
      </c>
      <c r="L29" s="30">
        <f>IF(OR(B29="",I29=""),"",I29-B29)</f>
        <v/>
      </c>
      <c r="M29" s="4" t="n"/>
      <c r="N29" s="4" t="n"/>
      <c r="O29" s="4" t="n"/>
    </row>
    <row r="30">
      <c r="A30" s="18" t="n"/>
      <c r="B30" s="20" t="n"/>
      <c r="C30" s="4" t="n"/>
      <c r="D30" s="4" t="n"/>
      <c r="E30" s="24" t="n"/>
      <c r="F30" s="4" t="n"/>
      <c r="G30" s="4" t="n"/>
      <c r="H30" s="4" t="n"/>
      <c r="I30" s="20" t="n"/>
      <c r="J30" s="24" t="n"/>
      <c r="K30" s="25">
        <f>IF(OR(E30="",J30=""),"",ROUND(J30-E30,2))</f>
        <v/>
      </c>
      <c r="L30" s="30">
        <f>IF(OR(B30="",I30=""),"",I30-B30)</f>
        <v/>
      </c>
      <c r="M30" s="4" t="n"/>
      <c r="N30" s="4" t="n"/>
      <c r="O30" s="4" t="n"/>
    </row>
    <row r="31">
      <c r="A31" s="18" t="n"/>
      <c r="B31" s="20" t="n"/>
      <c r="C31" s="4" t="n"/>
      <c r="D31" s="4" t="n"/>
      <c r="E31" s="24" t="n"/>
      <c r="F31" s="4" t="n"/>
      <c r="G31" s="4" t="n"/>
      <c r="H31" s="4" t="n"/>
      <c r="I31" s="20" t="n"/>
      <c r="J31" s="24" t="n"/>
      <c r="K31" s="25">
        <f>IF(OR(E31="",J31=""),"",ROUND(J31-E31,2))</f>
        <v/>
      </c>
      <c r="L31" s="30">
        <f>IF(OR(B31="",I31=""),"",I31-B31)</f>
        <v/>
      </c>
      <c r="M31" s="4" t="n"/>
      <c r="N31" s="4" t="n"/>
      <c r="O31" s="4" t="n"/>
    </row>
    <row r="32">
      <c r="A32" s="18" t="n"/>
      <c r="B32" s="20" t="n"/>
      <c r="C32" s="4" t="n"/>
      <c r="D32" s="4" t="n"/>
      <c r="E32" s="24" t="n"/>
      <c r="F32" s="4" t="n"/>
      <c r="G32" s="4" t="n"/>
      <c r="H32" s="4" t="n"/>
      <c r="I32" s="20" t="n"/>
      <c r="J32" s="24" t="n"/>
      <c r="K32" s="25">
        <f>IF(OR(E32="",J32=""),"",ROUND(J32-E32,2))</f>
        <v/>
      </c>
      <c r="L32" s="30">
        <f>IF(OR(B32="",I32=""),"",I32-B32)</f>
        <v/>
      </c>
      <c r="M32" s="4" t="n"/>
      <c r="N32" s="4" t="n"/>
      <c r="O32" s="4" t="n"/>
    </row>
    <row r="33">
      <c r="A33" s="18" t="n"/>
      <c r="B33" s="20" t="n"/>
      <c r="C33" s="4" t="n"/>
      <c r="D33" s="4" t="n"/>
      <c r="E33" s="24" t="n"/>
      <c r="F33" s="4" t="n"/>
      <c r="G33" s="4" t="n"/>
      <c r="H33" s="4" t="n"/>
      <c r="I33" s="20" t="n"/>
      <c r="J33" s="24" t="n"/>
      <c r="K33" s="25">
        <f>IF(OR(E33="",J33=""),"",ROUND(J33-E33,2))</f>
        <v/>
      </c>
      <c r="L33" s="30">
        <f>IF(OR(B33="",I33=""),"",I33-B33)</f>
        <v/>
      </c>
      <c r="M33" s="4" t="n"/>
      <c r="N33" s="4" t="n"/>
      <c r="O33" s="4" t="n"/>
    </row>
    <row r="34">
      <c r="A34" s="18" t="n"/>
      <c r="B34" s="20" t="n"/>
      <c r="C34" s="4" t="n"/>
      <c r="D34" s="4" t="n"/>
      <c r="E34" s="24" t="n"/>
      <c r="F34" s="4" t="n"/>
      <c r="G34" s="4" t="n"/>
      <c r="H34" s="4" t="n"/>
      <c r="I34" s="20" t="n"/>
      <c r="J34" s="24" t="n"/>
      <c r="K34" s="25">
        <f>IF(OR(E34="",J34=""),"",ROUND(J34-E34,2))</f>
        <v/>
      </c>
      <c r="L34" s="30">
        <f>IF(OR(B34="",I34=""),"",I34-B34)</f>
        <v/>
      </c>
      <c r="M34" s="4" t="n"/>
      <c r="N34" s="4" t="n"/>
      <c r="O34" s="4" t="n"/>
    </row>
    <row r="35">
      <c r="A35" s="18" t="n"/>
      <c r="B35" s="20" t="n"/>
      <c r="C35" s="4" t="n"/>
      <c r="D35" s="4" t="n"/>
      <c r="E35" s="24" t="n"/>
      <c r="F35" s="4" t="n"/>
      <c r="G35" s="4" t="n"/>
      <c r="H35" s="4" t="n"/>
      <c r="I35" s="20" t="n"/>
      <c r="J35" s="24" t="n"/>
      <c r="K35" s="25">
        <f>IF(OR(E35="",J35=""),"",ROUND(J35-E35,2))</f>
        <v/>
      </c>
      <c r="L35" s="30">
        <f>IF(OR(B35="",I35=""),"",I35-B35)</f>
        <v/>
      </c>
      <c r="M35" s="4" t="n"/>
      <c r="N35" s="4" t="n"/>
      <c r="O35" s="4" t="n"/>
    </row>
    <row r="36">
      <c r="A36" s="18" t="n"/>
      <c r="B36" s="20" t="n"/>
      <c r="C36" s="4" t="n"/>
      <c r="D36" s="4" t="n"/>
      <c r="E36" s="24" t="n"/>
      <c r="F36" s="4" t="n"/>
      <c r="G36" s="4" t="n"/>
      <c r="H36" s="4" t="n"/>
      <c r="I36" s="20" t="n"/>
      <c r="J36" s="24" t="n"/>
      <c r="K36" s="25">
        <f>IF(OR(E36="",J36=""),"",ROUND(J36-E36,2))</f>
        <v/>
      </c>
      <c r="L36" s="30">
        <f>IF(OR(B36="",I36=""),"",I36-B36)</f>
        <v/>
      </c>
      <c r="M36" s="4" t="n"/>
      <c r="N36" s="4" t="n"/>
      <c r="O36" s="4" t="n"/>
    </row>
    <row r="37">
      <c r="A37" s="18" t="n"/>
      <c r="B37" s="20" t="n"/>
      <c r="C37" s="4" t="n"/>
      <c r="D37" s="4" t="n"/>
      <c r="E37" s="24" t="n"/>
      <c r="F37" s="4" t="n"/>
      <c r="G37" s="4" t="n"/>
      <c r="H37" s="4" t="n"/>
      <c r="I37" s="20" t="n"/>
      <c r="J37" s="24" t="n"/>
      <c r="K37" s="25">
        <f>IF(OR(E37="",J37=""),"",ROUND(J37-E37,2))</f>
        <v/>
      </c>
      <c r="L37" s="30">
        <f>IF(OR(B37="",I37=""),"",I37-B37)</f>
        <v/>
      </c>
      <c r="M37" s="4" t="n"/>
      <c r="N37" s="4" t="n"/>
      <c r="O37" s="4" t="n"/>
    </row>
    <row r="38">
      <c r="A38" s="18" t="n"/>
      <c r="B38" s="20" t="n"/>
      <c r="C38" s="4" t="n"/>
      <c r="D38" s="4" t="n"/>
      <c r="E38" s="24" t="n"/>
      <c r="F38" s="4" t="n"/>
      <c r="G38" s="4" t="n"/>
      <c r="H38" s="4" t="n"/>
      <c r="I38" s="20" t="n"/>
      <c r="J38" s="24" t="n"/>
      <c r="K38" s="25">
        <f>IF(OR(E38="",J38=""),"",ROUND(J38-E38,2))</f>
        <v/>
      </c>
      <c r="L38" s="30">
        <f>IF(OR(B38="",I38=""),"",I38-B38)</f>
        <v/>
      </c>
      <c r="M38" s="4" t="n"/>
      <c r="N38" s="4" t="n"/>
      <c r="O38" s="4" t="n"/>
    </row>
    <row r="39">
      <c r="A39" s="18" t="n"/>
      <c r="B39" s="20" t="n"/>
      <c r="C39" s="4" t="n"/>
      <c r="D39" s="4" t="n"/>
      <c r="E39" s="24" t="n"/>
      <c r="F39" s="4" t="n"/>
      <c r="G39" s="4" t="n"/>
      <c r="H39" s="4" t="n"/>
      <c r="I39" s="20" t="n"/>
      <c r="J39" s="24" t="n"/>
      <c r="K39" s="25">
        <f>IF(OR(E39="",J39=""),"",ROUND(J39-E39,2))</f>
        <v/>
      </c>
      <c r="L39" s="30">
        <f>IF(OR(B39="",I39=""),"",I39-B39)</f>
        <v/>
      </c>
      <c r="M39" s="4" t="n"/>
      <c r="N39" s="4" t="n"/>
      <c r="O39" s="4" t="n"/>
    </row>
    <row r="40">
      <c r="A40" s="26" t="inlineStr">
        <is>
          <t>Total</t>
        </is>
      </c>
      <c r="B40" s="26" t="n"/>
      <c r="C40" s="26" t="n"/>
      <c r="D40" s="26" t="n"/>
      <c r="E40" s="27">
        <f>SUM(E9:E39)</f>
        <v/>
      </c>
      <c r="F40" s="26" t="n"/>
      <c r="G40" s="26" t="n"/>
      <c r="H40" s="26" t="n"/>
      <c r="I40" s="26" t="n"/>
      <c r="J40" s="27">
        <f>SUM(J9:J39)</f>
        <v/>
      </c>
      <c r="K40" s="26" t="n"/>
      <c r="L40" s="26" t="n"/>
      <c r="M40" s="26" t="n"/>
      <c r="N40" s="26" t="n"/>
      <c r="O40" s="26" t="n"/>
    </row>
    <row r="42">
      <c r="D42" s="26" t="inlineStr">
        <is>
          <t>Summary by method</t>
        </is>
      </c>
      <c r="E42" s="26" t="inlineStr">
        <is>
          <t>Amount out</t>
        </is>
      </c>
      <c r="F42" s="26" t="inlineStr">
        <is>
          <t>Traced (Yes)</t>
        </is>
      </c>
    </row>
    <row r="43">
      <c r="D43" s="7" t="inlineStr">
        <is>
          <t>Check</t>
        </is>
      </c>
      <c r="E43" s="25">
        <f>SUMIFS($E$9:$E$39,$F$9:$F$39,D43)</f>
        <v/>
      </c>
      <c r="F43" s="25">
        <f>SUMIFS($J$9:$J$39,$F$9:$F$39,D43,$M$9:$M$39,"Yes")</f>
        <v/>
      </c>
    </row>
    <row r="44">
      <c r="D44" s="7" t="inlineStr">
        <is>
          <t>Wire</t>
        </is>
      </c>
      <c r="E44" s="25">
        <f>SUMIFS($E$9:$E$39,$F$9:$F$39,D44)</f>
        <v/>
      </c>
      <c r="F44" s="25">
        <f>SUMIFS($J$9:$J$39,$F$9:$F$39,D44,$M$9:$M$39,"Yes")</f>
        <v/>
      </c>
    </row>
    <row r="45">
      <c r="D45" s="7" t="inlineStr">
        <is>
          <t>Zelle / ACH</t>
        </is>
      </c>
      <c r="E45" s="25">
        <f>SUMIFS($E$9:$E$39,$F$9:$F$39,D45)</f>
        <v/>
      </c>
      <c r="F45" s="25">
        <f>SUMIFS($J$9:$J$39,$F$9:$F$39,D45,$M$9:$M$39,"Yes")</f>
        <v/>
      </c>
    </row>
    <row r="46">
      <c r="D46" s="7" t="inlineStr">
        <is>
          <t>Online transfer</t>
        </is>
      </c>
      <c r="E46" s="25">
        <f>SUMIFS($E$9:$E$39,$F$9:$F$39,D46)</f>
        <v/>
      </c>
      <c r="F46" s="25">
        <f>SUMIFS($J$9:$J$39,$F$9:$F$39,D46,$M$9:$M$39,"Yes")</f>
        <v/>
      </c>
    </row>
    <row r="47">
      <c r="D47" s="7" t="inlineStr">
        <is>
          <t>Cash</t>
        </is>
      </c>
      <c r="E47" s="25">
        <f>SUMIFS($E$9:$E$39,$F$9:$F$39,D47)</f>
        <v/>
      </c>
      <c r="F47" s="25">
        <f>SUMIFS($J$9:$J$39,$F$9:$F$39,D47,$M$9:$M$39,"Yes")</f>
        <v/>
      </c>
    </row>
    <row r="48">
      <c r="D48" s="7" t="inlineStr">
        <is>
          <t>Debit card</t>
        </is>
      </c>
      <c r="E48" s="25">
        <f>SUMIFS($E$9:$E$39,$F$9:$F$39,D48)</f>
        <v/>
      </c>
      <c r="F48" s="25">
        <f>SUMIFS($J$9:$J$39,$F$9:$F$39,D48,$M$9:$M$39,"Yes")</f>
        <v/>
      </c>
    </row>
    <row r="49">
      <c r="D49" s="7" t="inlineStr">
        <is>
          <t>Credit card</t>
        </is>
      </c>
      <c r="E49" s="25">
        <f>SUMIFS($E$9:$E$39,$F$9:$F$39,D49)</f>
        <v/>
      </c>
      <c r="F49" s="25">
        <f>SUMIFS($J$9:$J$39,$F$9:$F$39,D49,$M$9:$M$39,"Yes")</f>
        <v/>
      </c>
    </row>
    <row r="50">
      <c r="D50" s="7" t="inlineStr">
        <is>
          <t>Other</t>
        </is>
      </c>
      <c r="E50" s="25">
        <f>SUMIFS($E$9:$E$39,$F$9:$F$39,D50)</f>
        <v/>
      </c>
      <c r="F50" s="25">
        <f>SUMIFS($J$9:$J$39,$F$9:$F$39,D50,$M$9:$M$39,"Yes")</f>
        <v/>
      </c>
    </row>
  </sheetData>
  <mergeCells count="1">
    <mergeCell ref="A4:O6"/>
  </mergeCells>
  <dataValidations count="62">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 sqref="F9:F39" showDropDown="0" showInputMessage="0" showErrorMessage="0" allowBlank="1" type="list">
      <formula1>"Check,Wire,Zelle / ACH,Online transfer,Cash,Debit card,Credit card,Other"</formula1>
    </dataValidation>
    <dataValidation sqref="M9:M39" showDropDown="0" showInputMessage="0" showErrorMessage="0" allowBlank="1" type="list">
      <formula1>"Yes,No,Partial"</formula1>
    </dataValidation>
  </dataValidations>
  <pageMargins left="0.75" right="0.75" top="1" bottom="1" header="0.5" footer="0.5"/>
  <pageSetup orientation="landscape" fitToHeight="0" fitToWidth="1"/>
  <headerFooter>
    <oddHeader/>
    <oddFooter>&amp;LWorkpaper C-1&amp;RPage &amp;P of &amp;N</oddFooter>
    <evenHeader/>
    <evenFooter/>
    <firstHeader/>
    <firstFooter/>
  </headerFooter>
</worksheet>
</file>

<file path=xl/worksheets/sheet7.xml><?xml version="1.0" encoding="utf-8"?>
<worksheet xmlns="http://schemas.openxmlformats.org/spreadsheetml/2006/main">
  <sheetPr>
    <tabColor rgb="00246094"/>
    <outlinePr summaryBelow="1" summaryRight="1"/>
    <pageSetUpPr fitToPage="1"/>
  </sheetPr>
  <dimension ref="A1:K31"/>
  <sheetViews>
    <sheetView showGridLines="0" workbookViewId="0">
      <pane ySplit="8" topLeftCell="A9"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0" customWidth="1" min="5" max="5"/>
    <col width="14" customWidth="1" min="6" max="6"/>
    <col width="26" customWidth="1" min="7" max="7"/>
    <col width="14" customWidth="1" min="8" max="8"/>
    <col width="14" customWidth="1" min="9" max="9"/>
    <col width="14" customWidth="1" min="10" max="10"/>
    <col width="30" customWidth="1" min="11" max="11"/>
  </cols>
  <sheetData>
    <row r="1">
      <c r="A1" s="12">
        <f>IF(Index!$C$4="","[Case name: fill in on the Index]",Index!$C$4)</f>
        <v/>
      </c>
      <c r="J1" s="13" t="inlineStr">
        <is>
          <t>Prepared by / date</t>
        </is>
      </c>
      <c r="K1" s="4" t="n"/>
    </row>
    <row r="2" ht="22" customHeight="1">
      <c r="A2" s="14" t="inlineStr">
        <is>
          <t>C-2  Payee analysis: paid versus supported</t>
        </is>
      </c>
      <c r="J2" s="13" t="inlineStr">
        <is>
          <t>Reviewed by / date</t>
        </is>
      </c>
      <c r="K2" s="4" t="n"/>
    </row>
    <row r="4">
      <c r="A4" s="15" t="inlineStr">
        <is>
          <t>One row per payee who matters to the case (the app's "New payee" findings are a good start). Supported = what an agreement, invoice or other document justifies. The calculator below works out the most a caregiver could have earned under an hourly agreement.</t>
        </is>
      </c>
    </row>
    <row r="5"/>
    <row r="6"/>
    <row r="8" ht="30" customHeight="1">
      <c r="A8" s="5" t="inlineStr">
        <is>
          <t>Payee</t>
        </is>
      </c>
      <c r="B8" s="5" t="inlineStr">
        <is>
          <t>Related to the subject?</t>
        </is>
      </c>
      <c r="C8" s="5" t="inlineStr">
        <is>
          <t>First paid</t>
        </is>
      </c>
      <c r="D8" s="5" t="inlineStr">
        <is>
          <t>Last paid</t>
        </is>
      </c>
      <c r="E8" s="5" t="inlineStr">
        <is>
          <t>Number of payments</t>
        </is>
      </c>
      <c r="F8" s="5" t="inlineStr">
        <is>
          <t>Total paid</t>
        </is>
      </c>
      <c r="G8" s="5" t="inlineStr">
        <is>
          <t>Support (document)</t>
        </is>
      </c>
      <c r="H8" s="5" t="inlineStr">
        <is>
          <t>Supported amount</t>
        </is>
      </c>
      <c r="I8" s="5" t="inlineStr">
        <is>
          <t>Unsupported</t>
        </is>
      </c>
      <c r="J8" s="5" t="inlineStr">
        <is>
          <t>WP / doc ref</t>
        </is>
      </c>
      <c r="K8" s="5" t="inlineStr">
        <is>
          <t>Notes</t>
        </is>
      </c>
    </row>
    <row r="9">
      <c r="A9" s="17" t="inlineStr">
        <is>
          <t>DP Companion Care LLC</t>
        </is>
      </c>
      <c r="B9" s="17" t="inlineStr">
        <is>
          <t>Yes</t>
        </is>
      </c>
      <c r="C9" s="19" t="n">
        <v>45755</v>
      </c>
      <c r="D9" s="19" t="n">
        <v>45786</v>
      </c>
      <c r="E9" s="16" t="n">
        <v>5</v>
      </c>
      <c r="F9" s="21" t="n">
        <v>29400</v>
      </c>
      <c r="G9" s="17" t="inlineStr">
        <is>
          <t>Invoice INV-1001 (Exhibit D)</t>
        </is>
      </c>
      <c r="H9" s="21" t="n">
        <v>576</v>
      </c>
      <c r="I9" s="22">
        <f>IF(F9="","",F9-N(H9))</f>
        <v/>
      </c>
      <c r="J9" s="17" t="inlineStr">
        <is>
          <t>C-1, Exhibits C, D</t>
        </is>
      </c>
      <c r="K9" s="17" t="inlineStr">
        <is>
          <t>Agreement: $24/hr, 12 hrs/week</t>
        </is>
      </c>
    </row>
    <row r="10">
      <c r="A10" s="4" t="n"/>
      <c r="B10" s="4" t="n"/>
      <c r="C10" s="20" t="n"/>
      <c r="D10" s="20" t="n"/>
      <c r="E10" s="18" t="n"/>
      <c r="F10" s="24" t="n"/>
      <c r="G10" s="4" t="n"/>
      <c r="H10" s="24" t="n"/>
      <c r="I10" s="25">
        <f>IF(F10="","",F10-N(H10))</f>
        <v/>
      </c>
      <c r="J10" s="4" t="n"/>
      <c r="K10" s="4" t="n"/>
    </row>
    <row r="11">
      <c r="A11" s="4" t="n"/>
      <c r="B11" s="4" t="n"/>
      <c r="C11" s="20" t="n"/>
      <c r="D11" s="20" t="n"/>
      <c r="E11" s="18" t="n"/>
      <c r="F11" s="24" t="n"/>
      <c r="G11" s="4" t="n"/>
      <c r="H11" s="24" t="n"/>
      <c r="I11" s="25">
        <f>IF(F11="","",F11-N(H11))</f>
        <v/>
      </c>
      <c r="J11" s="4" t="n"/>
      <c r="K11" s="4" t="n"/>
    </row>
    <row r="12">
      <c r="A12" s="4" t="n"/>
      <c r="B12" s="4" t="n"/>
      <c r="C12" s="20" t="n"/>
      <c r="D12" s="20" t="n"/>
      <c r="E12" s="18" t="n"/>
      <c r="F12" s="24" t="n"/>
      <c r="G12" s="4" t="n"/>
      <c r="H12" s="24" t="n"/>
      <c r="I12" s="25">
        <f>IF(F12="","",F12-N(H12))</f>
        <v/>
      </c>
      <c r="J12" s="4" t="n"/>
      <c r="K12" s="4" t="n"/>
    </row>
    <row r="13">
      <c r="A13" s="4" t="n"/>
      <c r="B13" s="4" t="n"/>
      <c r="C13" s="20" t="n"/>
      <c r="D13" s="20" t="n"/>
      <c r="E13" s="18" t="n"/>
      <c r="F13" s="24" t="n"/>
      <c r="G13" s="4" t="n"/>
      <c r="H13" s="24" t="n"/>
      <c r="I13" s="25">
        <f>IF(F13="","",F13-N(H13))</f>
        <v/>
      </c>
      <c r="J13" s="4" t="n"/>
      <c r="K13" s="4" t="n"/>
    </row>
    <row r="14">
      <c r="A14" s="4" t="n"/>
      <c r="B14" s="4" t="n"/>
      <c r="C14" s="20" t="n"/>
      <c r="D14" s="20" t="n"/>
      <c r="E14" s="18" t="n"/>
      <c r="F14" s="24" t="n"/>
      <c r="G14" s="4" t="n"/>
      <c r="H14" s="24" t="n"/>
      <c r="I14" s="25">
        <f>IF(F14="","",F14-N(H14))</f>
        <v/>
      </c>
      <c r="J14" s="4" t="n"/>
      <c r="K14" s="4" t="n"/>
    </row>
    <row r="15">
      <c r="A15" s="4" t="n"/>
      <c r="B15" s="4" t="n"/>
      <c r="C15" s="20" t="n"/>
      <c r="D15" s="20" t="n"/>
      <c r="E15" s="18" t="n"/>
      <c r="F15" s="24" t="n"/>
      <c r="G15" s="4" t="n"/>
      <c r="H15" s="24" t="n"/>
      <c r="I15" s="25">
        <f>IF(F15="","",F15-N(H15))</f>
        <v/>
      </c>
      <c r="J15" s="4" t="n"/>
      <c r="K15" s="4" t="n"/>
    </row>
    <row r="16">
      <c r="A16" s="4" t="n"/>
      <c r="B16" s="4" t="n"/>
      <c r="C16" s="20" t="n"/>
      <c r="D16" s="20" t="n"/>
      <c r="E16" s="18" t="n"/>
      <c r="F16" s="24" t="n"/>
      <c r="G16" s="4" t="n"/>
      <c r="H16" s="24" t="n"/>
      <c r="I16" s="25">
        <f>IF(F16="","",F16-N(H16))</f>
        <v/>
      </c>
      <c r="J16" s="4" t="n"/>
      <c r="K16" s="4" t="n"/>
    </row>
    <row r="17">
      <c r="A17" s="4" t="n"/>
      <c r="B17" s="4" t="n"/>
      <c r="C17" s="20" t="n"/>
      <c r="D17" s="20" t="n"/>
      <c r="E17" s="18" t="n"/>
      <c r="F17" s="24" t="n"/>
      <c r="G17" s="4" t="n"/>
      <c r="H17" s="24" t="n"/>
      <c r="I17" s="25">
        <f>IF(F17="","",F17-N(H17))</f>
        <v/>
      </c>
      <c r="J17" s="4" t="n"/>
      <c r="K17" s="4" t="n"/>
    </row>
    <row r="18">
      <c r="A18" s="4" t="n"/>
      <c r="B18" s="4" t="n"/>
      <c r="C18" s="20" t="n"/>
      <c r="D18" s="20" t="n"/>
      <c r="E18" s="18" t="n"/>
      <c r="F18" s="24" t="n"/>
      <c r="G18" s="4" t="n"/>
      <c r="H18" s="24" t="n"/>
      <c r="I18" s="25">
        <f>IF(F18="","",F18-N(H18))</f>
        <v/>
      </c>
      <c r="J18" s="4" t="n"/>
      <c r="K18" s="4" t="n"/>
    </row>
    <row r="19">
      <c r="A19" s="4" t="n"/>
      <c r="B19" s="4" t="n"/>
      <c r="C19" s="20" t="n"/>
      <c r="D19" s="20" t="n"/>
      <c r="E19" s="18" t="n"/>
      <c r="F19" s="24" t="n"/>
      <c r="G19" s="4" t="n"/>
      <c r="H19" s="24" t="n"/>
      <c r="I19" s="25">
        <f>IF(F19="","",F19-N(H19))</f>
        <v/>
      </c>
      <c r="J19" s="4" t="n"/>
      <c r="K19" s="4" t="n"/>
    </row>
    <row r="20">
      <c r="A20" s="4" t="n"/>
      <c r="B20" s="4" t="n"/>
      <c r="C20" s="20" t="n"/>
      <c r="D20" s="20" t="n"/>
      <c r="E20" s="18" t="n"/>
      <c r="F20" s="24" t="n"/>
      <c r="G20" s="4" t="n"/>
      <c r="H20" s="24" t="n"/>
      <c r="I20" s="25">
        <f>IF(F20="","",F20-N(H20))</f>
        <v/>
      </c>
      <c r="J20" s="4" t="n"/>
      <c r="K20" s="4" t="n"/>
    </row>
    <row r="21">
      <c r="A21" s="4" t="n"/>
      <c r="B21" s="4" t="n"/>
      <c r="C21" s="20" t="n"/>
      <c r="D21" s="20" t="n"/>
      <c r="E21" s="18" t="n"/>
      <c r="F21" s="24" t="n"/>
      <c r="G21" s="4" t="n"/>
      <c r="H21" s="24" t="n"/>
      <c r="I21" s="25">
        <f>IF(F21="","",F21-N(H21))</f>
        <v/>
      </c>
      <c r="J21" s="4" t="n"/>
      <c r="K21" s="4" t="n"/>
    </row>
    <row r="22">
      <c r="A22" s="4" t="n"/>
      <c r="B22" s="4" t="n"/>
      <c r="C22" s="20" t="n"/>
      <c r="D22" s="20" t="n"/>
      <c r="E22" s="18" t="n"/>
      <c r="F22" s="24" t="n"/>
      <c r="G22" s="4" t="n"/>
      <c r="H22" s="24" t="n"/>
      <c r="I22" s="25">
        <f>IF(F22="","",F22-N(H22))</f>
        <v/>
      </c>
      <c r="J22" s="4" t="n"/>
      <c r="K22" s="4" t="n"/>
    </row>
    <row r="23">
      <c r="A23" s="4" t="n"/>
      <c r="B23" s="4" t="n"/>
      <c r="C23" s="20" t="n"/>
      <c r="D23" s="20" t="n"/>
      <c r="E23" s="18" t="n"/>
      <c r="F23" s="24" t="n"/>
      <c r="G23" s="4" t="n"/>
      <c r="H23" s="24" t="n"/>
      <c r="I23" s="25">
        <f>IF(F23="","",F23-N(H23))</f>
        <v/>
      </c>
      <c r="J23" s="4" t="n"/>
      <c r="K23" s="4" t="n"/>
    </row>
    <row r="24">
      <c r="A24" s="4" t="n"/>
      <c r="B24" s="4" t="n"/>
      <c r="C24" s="20" t="n"/>
      <c r="D24" s="20" t="n"/>
      <c r="E24" s="18" t="n"/>
      <c r="F24" s="24" t="n"/>
      <c r="G24" s="4" t="n"/>
      <c r="H24" s="24" t="n"/>
      <c r="I24" s="25">
        <f>IF(F24="","",F24-N(H24))</f>
        <v/>
      </c>
      <c r="J24" s="4" t="n"/>
      <c r="K24" s="4" t="n"/>
    </row>
    <row r="25">
      <c r="A25" s="26" t="inlineStr">
        <is>
          <t>Total</t>
        </is>
      </c>
      <c r="B25" s="26" t="n"/>
      <c r="C25" s="26" t="n"/>
      <c r="D25" s="26" t="n"/>
      <c r="E25" s="27">
        <f>SUM(E9:E24)</f>
        <v/>
      </c>
      <c r="F25" s="27">
        <f>SUM(F9:F24)</f>
        <v/>
      </c>
      <c r="G25" s="26" t="n"/>
      <c r="H25" s="27">
        <f>SUM(H9:H24)</f>
        <v/>
      </c>
      <c r="I25" s="27">
        <f>SUM(I9:I24)</f>
        <v/>
      </c>
      <c r="J25" s="26" t="n"/>
      <c r="K25" s="26" t="n"/>
    </row>
    <row r="27">
      <c r="A27" s="8" t="inlineStr">
        <is>
          <t>Most that could be earned under an hourly agreement</t>
        </is>
      </c>
    </row>
    <row r="28">
      <c r="A28" s="7" t="inlineStr">
        <is>
          <t>Hourly rate</t>
        </is>
      </c>
      <c r="B28" s="24" t="n"/>
    </row>
    <row r="29">
      <c r="A29" s="7" t="inlineStr">
        <is>
          <t>Hours per week</t>
        </is>
      </c>
      <c r="B29" s="31" t="n"/>
    </row>
    <row r="30">
      <c r="A30" s="7" t="inlineStr">
        <is>
          <t>Weeks in the period</t>
        </is>
      </c>
      <c r="B30" s="31" t="n"/>
    </row>
    <row r="31">
      <c r="A31" s="26" t="inlineStr">
        <is>
          <t>Maximum earned</t>
        </is>
      </c>
      <c r="B31" s="27">
        <f>N(B28)*N(B29)*N(B30)</f>
        <v/>
      </c>
    </row>
  </sheetData>
  <mergeCells count="1">
    <mergeCell ref="A4:K6"/>
  </mergeCells>
  <dataValidations count="16">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 sqref="B9:B24" showDropDown="0" showInputMessage="0" showErrorMessage="0" allowBlank="1" type="list">
      <formula1>"Yes,No"</formula1>
    </dataValidation>
  </dataValidations>
  <pageMargins left="0.75" right="0.75" top="1" bottom="1" header="0.5" footer="0.5"/>
  <pageSetup orientation="landscape" fitToHeight="0" fitToWidth="1"/>
  <headerFooter>
    <oddHeader/>
    <oddFooter>&amp;LWorkpaper C-2&amp;RPage &amp;P of &amp;N</oddFooter>
    <evenHeader/>
    <evenFooter/>
    <firstHeader/>
    <firstFooter/>
  </headerFooter>
</worksheet>
</file>

<file path=xl/worksheets/sheet8.xml><?xml version="1.0" encoding="utf-8"?>
<worksheet xmlns="http://schemas.openxmlformats.org/spreadsheetml/2006/main">
  <sheetPr>
    <tabColor rgb="00246094"/>
    <outlinePr summaryBelow="1" summaryRight="1"/>
    <pageSetUpPr fitToPage="1"/>
  </sheetPr>
  <dimension ref="A1:M45"/>
  <sheetViews>
    <sheetView showGridLines="0" workbookViewId="0">
      <pane ySplit="8" topLeftCell="A9" activePane="bottomLeft" state="frozen"/>
      <selection pane="bottomLeft" activeCell="A1" sqref="A1"/>
    </sheetView>
  </sheetViews>
  <sheetFormatPr baseColWidth="8" defaultRowHeight="15"/>
  <cols>
    <col width="11" customWidth="1" min="1" max="1"/>
    <col width="16" customWidth="1" min="2" max="2"/>
    <col width="26" customWidth="1" min="3" max="3"/>
    <col width="13" customWidth="1" min="4" max="4"/>
    <col width="11" customWidth="1" min="5" max="5"/>
    <col width="10" customWidth="1" min="6" max="6"/>
    <col width="12" customWidth="1" min="7" max="7"/>
    <col width="18" customWidth="1" min="8" max="8"/>
    <col width="13" customWidth="1" min="9" max="9"/>
    <col width="9" customWidth="1" min="10" max="10"/>
    <col width="10" customWidth="1" min="11" max="11"/>
    <col width="18" customWidth="1" min="12" max="12"/>
    <col width="26" customWidth="1" min="13" max="13"/>
  </cols>
  <sheetData>
    <row r="1">
      <c r="A1" s="12">
        <f>IF(Index!$C$4="","[Case name: fill in on the Index]",Index!$C$4)</f>
        <v/>
      </c>
      <c r="L1" s="13" t="inlineStr">
        <is>
          <t>Prepared by / date</t>
        </is>
      </c>
      <c r="M1" s="4" t="n"/>
    </row>
    <row r="2" ht="22" customHeight="1">
      <c r="A2" s="14" t="inlineStr">
        <is>
          <t>C-3  Cash analysis</t>
        </is>
      </c>
      <c r="L2" s="13" t="inlineStr">
        <is>
          <t>Reviewed by / date</t>
        </is>
      </c>
      <c r="M2" s="4" t="n"/>
    </row>
    <row r="4">
      <c r="A4" s="15" t="inlineStr">
        <is>
          <t>Every cash withdrawal (branch, ATM, cash advance). The sheet marks amounts from $8,000 to $9,999.99 (just under the $10,000 reporting threshold) and the days since the previous withdrawal. Then look for matching cash deposits in the subject's accounts, a few days later and a little less.</t>
        </is>
      </c>
    </row>
    <row r="5"/>
    <row r="6"/>
    <row r="8" ht="30" customHeight="1">
      <c r="A8" s="5" t="inlineStr">
        <is>
          <t>Date</t>
        </is>
      </c>
      <c r="B8" s="5" t="inlineStr">
        <is>
          <t>Account</t>
        </is>
      </c>
      <c r="C8" s="5" t="inlineStr">
        <is>
          <t>Where (branch / ATM / casino)</t>
        </is>
      </c>
      <c r="D8" s="5" t="inlineStr">
        <is>
          <t>Amount</t>
        </is>
      </c>
      <c r="E8" s="5" t="inlineStr">
        <is>
          <t>Just under $10,000?</t>
        </is>
      </c>
      <c r="F8" s="5" t="inlineStr">
        <is>
          <t>Days since previous</t>
        </is>
      </c>
      <c r="G8" s="5" t="inlineStr">
        <is>
          <t>Matching deposit: date</t>
        </is>
      </c>
      <c r="H8" s="5" t="inlineStr">
        <is>
          <t>Deposit account</t>
        </is>
      </c>
      <c r="I8" s="5" t="inlineStr">
        <is>
          <t>Deposit amount</t>
        </is>
      </c>
      <c r="J8" s="5" t="inlineStr">
        <is>
          <t>Days later</t>
        </is>
      </c>
      <c r="K8" s="5" t="inlineStr">
        <is>
          <t>Kept by subject?</t>
        </is>
      </c>
      <c r="L8" s="5" t="inlineStr">
        <is>
          <t>Evidence</t>
        </is>
      </c>
      <c r="M8" s="5" t="inlineStr">
        <is>
          <t>Notes</t>
        </is>
      </c>
    </row>
    <row r="9">
      <c r="A9" s="19" t="n">
        <v>45768</v>
      </c>
      <c r="B9" s="17" t="inlineStr">
        <is>
          <t>Larkspur 8701</t>
        </is>
      </c>
      <c r="C9" s="17" t="inlineStr">
        <is>
          <t>1st Ave branch, Maple Grove</t>
        </is>
      </c>
      <c r="D9" s="21" t="n">
        <v>9500</v>
      </c>
      <c r="E9" s="23">
        <f>IF(D9="","",IF(AND(D9&gt;=8000,D9&lt;10000),"Yes","No"))</f>
        <v/>
      </c>
      <c r="F9" s="29" t="inlineStr"/>
      <c r="G9" s="19" t="n">
        <v>45769</v>
      </c>
      <c r="H9" s="17" t="inlineStr">
        <is>
          <t>Oxbow 5520</t>
        </is>
      </c>
      <c r="I9" s="21" t="n">
        <v>9000</v>
      </c>
      <c r="J9" s="29">
        <f>IF(OR(A9="",G9=""),"",G9-A9)</f>
        <v/>
      </c>
      <c r="K9" s="17" t="inlineStr">
        <is>
          <t>Yes</t>
        </is>
      </c>
      <c r="L9" s="17" t="inlineStr">
        <is>
          <t>Docs 2, 9</t>
        </is>
      </c>
      <c r="M9" s="17" t="inlineStr">
        <is>
          <t>Deposit $500 less, next day</t>
        </is>
      </c>
    </row>
    <row r="10">
      <c r="A10" s="20" t="n"/>
      <c r="B10" s="4" t="n"/>
      <c r="C10" s="4" t="n"/>
      <c r="D10" s="24" t="n"/>
      <c r="E10" s="7">
        <f>IF(D10="","",IF(AND(D10&gt;=8000,D10&lt;10000),"Yes","No"))</f>
        <v/>
      </c>
      <c r="F10" s="30">
        <f>IF(OR(A10="",N(A9)=0),"",A10-A9)</f>
        <v/>
      </c>
      <c r="G10" s="20" t="n"/>
      <c r="H10" s="4" t="n"/>
      <c r="I10" s="24" t="n"/>
      <c r="J10" s="30">
        <f>IF(OR(A10="",G10=""),"",G10-A10)</f>
        <v/>
      </c>
      <c r="K10" s="4" t="n"/>
      <c r="L10" s="4" t="n"/>
      <c r="M10" s="4" t="n"/>
    </row>
    <row r="11">
      <c r="A11" s="20" t="n"/>
      <c r="B11" s="4" t="n"/>
      <c r="C11" s="4" t="n"/>
      <c r="D11" s="24" t="n"/>
      <c r="E11" s="7">
        <f>IF(D11="","",IF(AND(D11&gt;=8000,D11&lt;10000),"Yes","No"))</f>
        <v/>
      </c>
      <c r="F11" s="30">
        <f>IF(OR(A11="",N(A10)=0),"",A11-A10)</f>
        <v/>
      </c>
      <c r="G11" s="20" t="n"/>
      <c r="H11" s="4" t="n"/>
      <c r="I11" s="24" t="n"/>
      <c r="J11" s="30">
        <f>IF(OR(A11="",G11=""),"",G11-A11)</f>
        <v/>
      </c>
      <c r="K11" s="4" t="n"/>
      <c r="L11" s="4" t="n"/>
      <c r="M11" s="4" t="n"/>
    </row>
    <row r="12">
      <c r="A12" s="20" t="n"/>
      <c r="B12" s="4" t="n"/>
      <c r="C12" s="4" t="n"/>
      <c r="D12" s="24" t="n"/>
      <c r="E12" s="7">
        <f>IF(D12="","",IF(AND(D12&gt;=8000,D12&lt;10000),"Yes","No"))</f>
        <v/>
      </c>
      <c r="F12" s="30">
        <f>IF(OR(A12="",N(A11)=0),"",A12-A11)</f>
        <v/>
      </c>
      <c r="G12" s="20" t="n"/>
      <c r="H12" s="4" t="n"/>
      <c r="I12" s="24" t="n"/>
      <c r="J12" s="30">
        <f>IF(OR(A12="",G12=""),"",G12-A12)</f>
        <v/>
      </c>
      <c r="K12" s="4" t="n"/>
      <c r="L12" s="4" t="n"/>
      <c r="M12" s="4" t="n"/>
    </row>
    <row r="13">
      <c r="A13" s="20" t="n"/>
      <c r="B13" s="4" t="n"/>
      <c r="C13" s="4" t="n"/>
      <c r="D13" s="24" t="n"/>
      <c r="E13" s="7">
        <f>IF(D13="","",IF(AND(D13&gt;=8000,D13&lt;10000),"Yes","No"))</f>
        <v/>
      </c>
      <c r="F13" s="30">
        <f>IF(OR(A13="",N(A12)=0),"",A13-A12)</f>
        <v/>
      </c>
      <c r="G13" s="20" t="n"/>
      <c r="H13" s="4" t="n"/>
      <c r="I13" s="24" t="n"/>
      <c r="J13" s="30">
        <f>IF(OR(A13="",G13=""),"",G13-A13)</f>
        <v/>
      </c>
      <c r="K13" s="4" t="n"/>
      <c r="L13" s="4" t="n"/>
      <c r="M13" s="4" t="n"/>
    </row>
    <row r="14">
      <c r="A14" s="20" t="n"/>
      <c r="B14" s="4" t="n"/>
      <c r="C14" s="4" t="n"/>
      <c r="D14" s="24" t="n"/>
      <c r="E14" s="7">
        <f>IF(D14="","",IF(AND(D14&gt;=8000,D14&lt;10000),"Yes","No"))</f>
        <v/>
      </c>
      <c r="F14" s="30">
        <f>IF(OR(A14="",N(A13)=0),"",A14-A13)</f>
        <v/>
      </c>
      <c r="G14" s="20" t="n"/>
      <c r="H14" s="4" t="n"/>
      <c r="I14" s="24" t="n"/>
      <c r="J14" s="30">
        <f>IF(OR(A14="",G14=""),"",G14-A14)</f>
        <v/>
      </c>
      <c r="K14" s="4" t="n"/>
      <c r="L14" s="4" t="n"/>
      <c r="M14" s="4" t="n"/>
    </row>
    <row r="15">
      <c r="A15" s="20" t="n"/>
      <c r="B15" s="4" t="n"/>
      <c r="C15" s="4" t="n"/>
      <c r="D15" s="24" t="n"/>
      <c r="E15" s="7">
        <f>IF(D15="","",IF(AND(D15&gt;=8000,D15&lt;10000),"Yes","No"))</f>
        <v/>
      </c>
      <c r="F15" s="30">
        <f>IF(OR(A15="",N(A14)=0),"",A15-A14)</f>
        <v/>
      </c>
      <c r="G15" s="20" t="n"/>
      <c r="H15" s="4" t="n"/>
      <c r="I15" s="24" t="n"/>
      <c r="J15" s="30">
        <f>IF(OR(A15="",G15=""),"",G15-A15)</f>
        <v/>
      </c>
      <c r="K15" s="4" t="n"/>
      <c r="L15" s="4" t="n"/>
      <c r="M15" s="4" t="n"/>
    </row>
    <row r="16">
      <c r="A16" s="20" t="n"/>
      <c r="B16" s="4" t="n"/>
      <c r="C16" s="4" t="n"/>
      <c r="D16" s="24" t="n"/>
      <c r="E16" s="7">
        <f>IF(D16="","",IF(AND(D16&gt;=8000,D16&lt;10000),"Yes","No"))</f>
        <v/>
      </c>
      <c r="F16" s="30">
        <f>IF(OR(A16="",N(A15)=0),"",A16-A15)</f>
        <v/>
      </c>
      <c r="G16" s="20" t="n"/>
      <c r="H16" s="4" t="n"/>
      <c r="I16" s="24" t="n"/>
      <c r="J16" s="30">
        <f>IF(OR(A16="",G16=""),"",G16-A16)</f>
        <v/>
      </c>
      <c r="K16" s="4" t="n"/>
      <c r="L16" s="4" t="n"/>
      <c r="M16" s="4" t="n"/>
    </row>
    <row r="17">
      <c r="A17" s="20" t="n"/>
      <c r="B17" s="4" t="n"/>
      <c r="C17" s="4" t="n"/>
      <c r="D17" s="24" t="n"/>
      <c r="E17" s="7">
        <f>IF(D17="","",IF(AND(D17&gt;=8000,D17&lt;10000),"Yes","No"))</f>
        <v/>
      </c>
      <c r="F17" s="30">
        <f>IF(OR(A17="",N(A16)=0),"",A17-A16)</f>
        <v/>
      </c>
      <c r="G17" s="20" t="n"/>
      <c r="H17" s="4" t="n"/>
      <c r="I17" s="24" t="n"/>
      <c r="J17" s="30">
        <f>IF(OR(A17="",G17=""),"",G17-A17)</f>
        <v/>
      </c>
      <c r="K17" s="4" t="n"/>
      <c r="L17" s="4" t="n"/>
      <c r="M17" s="4" t="n"/>
    </row>
    <row r="18">
      <c r="A18" s="20" t="n"/>
      <c r="B18" s="4" t="n"/>
      <c r="C18" s="4" t="n"/>
      <c r="D18" s="24" t="n"/>
      <c r="E18" s="7">
        <f>IF(D18="","",IF(AND(D18&gt;=8000,D18&lt;10000),"Yes","No"))</f>
        <v/>
      </c>
      <c r="F18" s="30">
        <f>IF(OR(A18="",N(A17)=0),"",A18-A17)</f>
        <v/>
      </c>
      <c r="G18" s="20" t="n"/>
      <c r="H18" s="4" t="n"/>
      <c r="I18" s="24" t="n"/>
      <c r="J18" s="30">
        <f>IF(OR(A18="",G18=""),"",G18-A18)</f>
        <v/>
      </c>
      <c r="K18" s="4" t="n"/>
      <c r="L18" s="4" t="n"/>
      <c r="M18" s="4" t="n"/>
    </row>
    <row r="19">
      <c r="A19" s="20" t="n"/>
      <c r="B19" s="4" t="n"/>
      <c r="C19" s="4" t="n"/>
      <c r="D19" s="24" t="n"/>
      <c r="E19" s="7">
        <f>IF(D19="","",IF(AND(D19&gt;=8000,D19&lt;10000),"Yes","No"))</f>
        <v/>
      </c>
      <c r="F19" s="30">
        <f>IF(OR(A19="",N(A18)=0),"",A19-A18)</f>
        <v/>
      </c>
      <c r="G19" s="20" t="n"/>
      <c r="H19" s="4" t="n"/>
      <c r="I19" s="24" t="n"/>
      <c r="J19" s="30">
        <f>IF(OR(A19="",G19=""),"",G19-A19)</f>
        <v/>
      </c>
      <c r="K19" s="4" t="n"/>
      <c r="L19" s="4" t="n"/>
      <c r="M19" s="4" t="n"/>
    </row>
    <row r="20">
      <c r="A20" s="20" t="n"/>
      <c r="B20" s="4" t="n"/>
      <c r="C20" s="4" t="n"/>
      <c r="D20" s="24" t="n"/>
      <c r="E20" s="7">
        <f>IF(D20="","",IF(AND(D20&gt;=8000,D20&lt;10000),"Yes","No"))</f>
        <v/>
      </c>
      <c r="F20" s="30">
        <f>IF(OR(A20="",N(A19)=0),"",A20-A19)</f>
        <v/>
      </c>
      <c r="G20" s="20" t="n"/>
      <c r="H20" s="4" t="n"/>
      <c r="I20" s="24" t="n"/>
      <c r="J20" s="30">
        <f>IF(OR(A20="",G20=""),"",G20-A20)</f>
        <v/>
      </c>
      <c r="K20" s="4" t="n"/>
      <c r="L20" s="4" t="n"/>
      <c r="M20" s="4" t="n"/>
    </row>
    <row r="21">
      <c r="A21" s="20" t="n"/>
      <c r="B21" s="4" t="n"/>
      <c r="C21" s="4" t="n"/>
      <c r="D21" s="24" t="n"/>
      <c r="E21" s="7">
        <f>IF(D21="","",IF(AND(D21&gt;=8000,D21&lt;10000),"Yes","No"))</f>
        <v/>
      </c>
      <c r="F21" s="30">
        <f>IF(OR(A21="",N(A20)=0),"",A21-A20)</f>
        <v/>
      </c>
      <c r="G21" s="20" t="n"/>
      <c r="H21" s="4" t="n"/>
      <c r="I21" s="24" t="n"/>
      <c r="J21" s="30">
        <f>IF(OR(A21="",G21=""),"",G21-A21)</f>
        <v/>
      </c>
      <c r="K21" s="4" t="n"/>
      <c r="L21" s="4" t="n"/>
      <c r="M21" s="4" t="n"/>
    </row>
    <row r="22">
      <c r="A22" s="20" t="n"/>
      <c r="B22" s="4" t="n"/>
      <c r="C22" s="4" t="n"/>
      <c r="D22" s="24" t="n"/>
      <c r="E22" s="7">
        <f>IF(D22="","",IF(AND(D22&gt;=8000,D22&lt;10000),"Yes","No"))</f>
        <v/>
      </c>
      <c r="F22" s="30">
        <f>IF(OR(A22="",N(A21)=0),"",A22-A21)</f>
        <v/>
      </c>
      <c r="G22" s="20" t="n"/>
      <c r="H22" s="4" t="n"/>
      <c r="I22" s="24" t="n"/>
      <c r="J22" s="30">
        <f>IF(OR(A22="",G22=""),"",G22-A22)</f>
        <v/>
      </c>
      <c r="K22" s="4" t="n"/>
      <c r="L22" s="4" t="n"/>
      <c r="M22" s="4" t="n"/>
    </row>
    <row r="23">
      <c r="A23" s="20" t="n"/>
      <c r="B23" s="4" t="n"/>
      <c r="C23" s="4" t="n"/>
      <c r="D23" s="24" t="n"/>
      <c r="E23" s="7">
        <f>IF(D23="","",IF(AND(D23&gt;=8000,D23&lt;10000),"Yes","No"))</f>
        <v/>
      </c>
      <c r="F23" s="30">
        <f>IF(OR(A23="",N(A22)=0),"",A23-A22)</f>
        <v/>
      </c>
      <c r="G23" s="20" t="n"/>
      <c r="H23" s="4" t="n"/>
      <c r="I23" s="24" t="n"/>
      <c r="J23" s="30">
        <f>IF(OR(A23="",G23=""),"",G23-A23)</f>
        <v/>
      </c>
      <c r="K23" s="4" t="n"/>
      <c r="L23" s="4" t="n"/>
      <c r="M23" s="4" t="n"/>
    </row>
    <row r="24">
      <c r="A24" s="20" t="n"/>
      <c r="B24" s="4" t="n"/>
      <c r="C24" s="4" t="n"/>
      <c r="D24" s="24" t="n"/>
      <c r="E24" s="7">
        <f>IF(D24="","",IF(AND(D24&gt;=8000,D24&lt;10000),"Yes","No"))</f>
        <v/>
      </c>
      <c r="F24" s="30">
        <f>IF(OR(A24="",N(A23)=0),"",A24-A23)</f>
        <v/>
      </c>
      <c r="G24" s="20" t="n"/>
      <c r="H24" s="4" t="n"/>
      <c r="I24" s="24" t="n"/>
      <c r="J24" s="30">
        <f>IF(OR(A24="",G24=""),"",G24-A24)</f>
        <v/>
      </c>
      <c r="K24" s="4" t="n"/>
      <c r="L24" s="4" t="n"/>
      <c r="M24" s="4" t="n"/>
    </row>
    <row r="25">
      <c r="A25" s="20" t="n"/>
      <c r="B25" s="4" t="n"/>
      <c r="C25" s="4" t="n"/>
      <c r="D25" s="24" t="n"/>
      <c r="E25" s="7">
        <f>IF(D25="","",IF(AND(D25&gt;=8000,D25&lt;10000),"Yes","No"))</f>
        <v/>
      </c>
      <c r="F25" s="30">
        <f>IF(OR(A25="",N(A24)=0),"",A25-A24)</f>
        <v/>
      </c>
      <c r="G25" s="20" t="n"/>
      <c r="H25" s="4" t="n"/>
      <c r="I25" s="24" t="n"/>
      <c r="J25" s="30">
        <f>IF(OR(A25="",G25=""),"",G25-A25)</f>
        <v/>
      </c>
      <c r="K25" s="4" t="n"/>
      <c r="L25" s="4" t="n"/>
      <c r="M25" s="4" t="n"/>
    </row>
    <row r="26">
      <c r="A26" s="20" t="n"/>
      <c r="B26" s="4" t="n"/>
      <c r="C26" s="4" t="n"/>
      <c r="D26" s="24" t="n"/>
      <c r="E26" s="7">
        <f>IF(D26="","",IF(AND(D26&gt;=8000,D26&lt;10000),"Yes","No"))</f>
        <v/>
      </c>
      <c r="F26" s="30">
        <f>IF(OR(A26="",N(A25)=0),"",A26-A25)</f>
        <v/>
      </c>
      <c r="G26" s="20" t="n"/>
      <c r="H26" s="4" t="n"/>
      <c r="I26" s="24" t="n"/>
      <c r="J26" s="30">
        <f>IF(OR(A26="",G26=""),"",G26-A26)</f>
        <v/>
      </c>
      <c r="K26" s="4" t="n"/>
      <c r="L26" s="4" t="n"/>
      <c r="M26" s="4" t="n"/>
    </row>
    <row r="27">
      <c r="A27" s="20" t="n"/>
      <c r="B27" s="4" t="n"/>
      <c r="C27" s="4" t="n"/>
      <c r="D27" s="24" t="n"/>
      <c r="E27" s="7">
        <f>IF(D27="","",IF(AND(D27&gt;=8000,D27&lt;10000),"Yes","No"))</f>
        <v/>
      </c>
      <c r="F27" s="30">
        <f>IF(OR(A27="",N(A26)=0),"",A27-A26)</f>
        <v/>
      </c>
      <c r="G27" s="20" t="n"/>
      <c r="H27" s="4" t="n"/>
      <c r="I27" s="24" t="n"/>
      <c r="J27" s="30">
        <f>IF(OR(A27="",G27=""),"",G27-A27)</f>
        <v/>
      </c>
      <c r="K27" s="4" t="n"/>
      <c r="L27" s="4" t="n"/>
      <c r="M27" s="4" t="n"/>
    </row>
    <row r="28">
      <c r="A28" s="20" t="n"/>
      <c r="B28" s="4" t="n"/>
      <c r="C28" s="4" t="n"/>
      <c r="D28" s="24" t="n"/>
      <c r="E28" s="7">
        <f>IF(D28="","",IF(AND(D28&gt;=8000,D28&lt;10000),"Yes","No"))</f>
        <v/>
      </c>
      <c r="F28" s="30">
        <f>IF(OR(A28="",N(A27)=0),"",A28-A27)</f>
        <v/>
      </c>
      <c r="G28" s="20" t="n"/>
      <c r="H28" s="4" t="n"/>
      <c r="I28" s="24" t="n"/>
      <c r="J28" s="30">
        <f>IF(OR(A28="",G28=""),"",G28-A28)</f>
        <v/>
      </c>
      <c r="K28" s="4" t="n"/>
      <c r="L28" s="4" t="n"/>
      <c r="M28" s="4" t="n"/>
    </row>
    <row r="29">
      <c r="A29" s="20" t="n"/>
      <c r="B29" s="4" t="n"/>
      <c r="C29" s="4" t="n"/>
      <c r="D29" s="24" t="n"/>
      <c r="E29" s="7">
        <f>IF(D29="","",IF(AND(D29&gt;=8000,D29&lt;10000),"Yes","No"))</f>
        <v/>
      </c>
      <c r="F29" s="30">
        <f>IF(OR(A29="",N(A28)=0),"",A29-A28)</f>
        <v/>
      </c>
      <c r="G29" s="20" t="n"/>
      <c r="H29" s="4" t="n"/>
      <c r="I29" s="24" t="n"/>
      <c r="J29" s="30">
        <f>IF(OR(A29="",G29=""),"",G29-A29)</f>
        <v/>
      </c>
      <c r="K29" s="4" t="n"/>
      <c r="L29" s="4" t="n"/>
      <c r="M29" s="4" t="n"/>
    </row>
    <row r="30">
      <c r="A30" s="20" t="n"/>
      <c r="B30" s="4" t="n"/>
      <c r="C30" s="4" t="n"/>
      <c r="D30" s="24" t="n"/>
      <c r="E30" s="7">
        <f>IF(D30="","",IF(AND(D30&gt;=8000,D30&lt;10000),"Yes","No"))</f>
        <v/>
      </c>
      <c r="F30" s="30">
        <f>IF(OR(A30="",N(A29)=0),"",A30-A29)</f>
        <v/>
      </c>
      <c r="G30" s="20" t="n"/>
      <c r="H30" s="4" t="n"/>
      <c r="I30" s="24" t="n"/>
      <c r="J30" s="30">
        <f>IF(OR(A30="",G30=""),"",G30-A30)</f>
        <v/>
      </c>
      <c r="K30" s="4" t="n"/>
      <c r="L30" s="4" t="n"/>
      <c r="M30" s="4" t="n"/>
    </row>
    <row r="31">
      <c r="A31" s="20" t="n"/>
      <c r="B31" s="4" t="n"/>
      <c r="C31" s="4" t="n"/>
      <c r="D31" s="24" t="n"/>
      <c r="E31" s="7">
        <f>IF(D31="","",IF(AND(D31&gt;=8000,D31&lt;10000),"Yes","No"))</f>
        <v/>
      </c>
      <c r="F31" s="30">
        <f>IF(OR(A31="",N(A30)=0),"",A31-A30)</f>
        <v/>
      </c>
      <c r="G31" s="20" t="n"/>
      <c r="H31" s="4" t="n"/>
      <c r="I31" s="24" t="n"/>
      <c r="J31" s="30">
        <f>IF(OR(A31="",G31=""),"",G31-A31)</f>
        <v/>
      </c>
      <c r="K31" s="4" t="n"/>
      <c r="L31" s="4" t="n"/>
      <c r="M31" s="4" t="n"/>
    </row>
    <row r="32">
      <c r="A32" s="20" t="n"/>
      <c r="B32" s="4" t="n"/>
      <c r="C32" s="4" t="n"/>
      <c r="D32" s="24" t="n"/>
      <c r="E32" s="7">
        <f>IF(D32="","",IF(AND(D32&gt;=8000,D32&lt;10000),"Yes","No"))</f>
        <v/>
      </c>
      <c r="F32" s="30">
        <f>IF(OR(A32="",N(A31)=0),"",A32-A31)</f>
        <v/>
      </c>
      <c r="G32" s="20" t="n"/>
      <c r="H32" s="4" t="n"/>
      <c r="I32" s="24" t="n"/>
      <c r="J32" s="30">
        <f>IF(OR(A32="",G32=""),"",G32-A32)</f>
        <v/>
      </c>
      <c r="K32" s="4" t="n"/>
      <c r="L32" s="4" t="n"/>
      <c r="M32" s="4" t="n"/>
    </row>
    <row r="33">
      <c r="A33" s="20" t="n"/>
      <c r="B33" s="4" t="n"/>
      <c r="C33" s="4" t="n"/>
      <c r="D33" s="24" t="n"/>
      <c r="E33" s="7">
        <f>IF(D33="","",IF(AND(D33&gt;=8000,D33&lt;10000),"Yes","No"))</f>
        <v/>
      </c>
      <c r="F33" s="30">
        <f>IF(OR(A33="",N(A32)=0),"",A33-A32)</f>
        <v/>
      </c>
      <c r="G33" s="20" t="n"/>
      <c r="H33" s="4" t="n"/>
      <c r="I33" s="24" t="n"/>
      <c r="J33" s="30">
        <f>IF(OR(A33="",G33=""),"",G33-A33)</f>
        <v/>
      </c>
      <c r="K33" s="4" t="n"/>
      <c r="L33" s="4" t="n"/>
      <c r="M33" s="4" t="n"/>
    </row>
    <row r="34">
      <c r="A34" s="20" t="n"/>
      <c r="B34" s="4" t="n"/>
      <c r="C34" s="4" t="n"/>
      <c r="D34" s="24" t="n"/>
      <c r="E34" s="7">
        <f>IF(D34="","",IF(AND(D34&gt;=8000,D34&lt;10000),"Yes","No"))</f>
        <v/>
      </c>
      <c r="F34" s="30">
        <f>IF(OR(A34="",N(A33)=0),"",A34-A33)</f>
        <v/>
      </c>
      <c r="G34" s="20" t="n"/>
      <c r="H34" s="4" t="n"/>
      <c r="I34" s="24" t="n"/>
      <c r="J34" s="30">
        <f>IF(OR(A34="",G34=""),"",G34-A34)</f>
        <v/>
      </c>
      <c r="K34" s="4" t="n"/>
      <c r="L34" s="4" t="n"/>
      <c r="M34" s="4" t="n"/>
    </row>
    <row r="35">
      <c r="A35" s="20" t="n"/>
      <c r="B35" s="4" t="n"/>
      <c r="C35" s="4" t="n"/>
      <c r="D35" s="24" t="n"/>
      <c r="E35" s="7">
        <f>IF(D35="","",IF(AND(D35&gt;=8000,D35&lt;10000),"Yes","No"))</f>
        <v/>
      </c>
      <c r="F35" s="30">
        <f>IF(OR(A35="",N(A34)=0),"",A35-A34)</f>
        <v/>
      </c>
      <c r="G35" s="20" t="n"/>
      <c r="H35" s="4" t="n"/>
      <c r="I35" s="24" t="n"/>
      <c r="J35" s="30">
        <f>IF(OR(A35="",G35=""),"",G35-A35)</f>
        <v/>
      </c>
      <c r="K35" s="4" t="n"/>
      <c r="L35" s="4" t="n"/>
      <c r="M35" s="4" t="n"/>
    </row>
    <row r="36">
      <c r="A36" s="20" t="n"/>
      <c r="B36" s="4" t="n"/>
      <c r="C36" s="4" t="n"/>
      <c r="D36" s="24" t="n"/>
      <c r="E36" s="7">
        <f>IF(D36="","",IF(AND(D36&gt;=8000,D36&lt;10000),"Yes","No"))</f>
        <v/>
      </c>
      <c r="F36" s="30">
        <f>IF(OR(A36="",N(A35)=0),"",A36-A35)</f>
        <v/>
      </c>
      <c r="G36" s="20" t="n"/>
      <c r="H36" s="4" t="n"/>
      <c r="I36" s="24" t="n"/>
      <c r="J36" s="30">
        <f>IF(OR(A36="",G36=""),"",G36-A36)</f>
        <v/>
      </c>
      <c r="K36" s="4" t="n"/>
      <c r="L36" s="4" t="n"/>
      <c r="M36" s="4" t="n"/>
    </row>
    <row r="37">
      <c r="A37" s="20" t="n"/>
      <c r="B37" s="4" t="n"/>
      <c r="C37" s="4" t="n"/>
      <c r="D37" s="24" t="n"/>
      <c r="E37" s="7">
        <f>IF(D37="","",IF(AND(D37&gt;=8000,D37&lt;10000),"Yes","No"))</f>
        <v/>
      </c>
      <c r="F37" s="30">
        <f>IF(OR(A37="",N(A36)=0),"",A37-A36)</f>
        <v/>
      </c>
      <c r="G37" s="20" t="n"/>
      <c r="H37" s="4" t="n"/>
      <c r="I37" s="24" t="n"/>
      <c r="J37" s="30">
        <f>IF(OR(A37="",G37=""),"",G37-A37)</f>
        <v/>
      </c>
      <c r="K37" s="4" t="n"/>
      <c r="L37" s="4" t="n"/>
      <c r="M37" s="4" t="n"/>
    </row>
    <row r="38">
      <c r="A38" s="20" t="n"/>
      <c r="B38" s="4" t="n"/>
      <c r="C38" s="4" t="n"/>
      <c r="D38" s="24" t="n"/>
      <c r="E38" s="7">
        <f>IF(D38="","",IF(AND(D38&gt;=8000,D38&lt;10000),"Yes","No"))</f>
        <v/>
      </c>
      <c r="F38" s="30">
        <f>IF(OR(A38="",N(A37)=0),"",A38-A37)</f>
        <v/>
      </c>
      <c r="G38" s="20" t="n"/>
      <c r="H38" s="4" t="n"/>
      <c r="I38" s="24" t="n"/>
      <c r="J38" s="30">
        <f>IF(OR(A38="",G38=""),"",G38-A38)</f>
        <v/>
      </c>
      <c r="K38" s="4" t="n"/>
      <c r="L38" s="4" t="n"/>
      <c r="M38" s="4" t="n"/>
    </row>
    <row r="39">
      <c r="A39" s="20" t="n"/>
      <c r="B39" s="4" t="n"/>
      <c r="C39" s="4" t="n"/>
      <c r="D39" s="24" t="n"/>
      <c r="E39" s="7">
        <f>IF(D39="","",IF(AND(D39&gt;=8000,D39&lt;10000),"Yes","No"))</f>
        <v/>
      </c>
      <c r="F39" s="30">
        <f>IF(OR(A39="",N(A38)=0),"",A39-A38)</f>
        <v/>
      </c>
      <c r="G39" s="20" t="n"/>
      <c r="H39" s="4" t="n"/>
      <c r="I39" s="24" t="n"/>
      <c r="J39" s="30">
        <f>IF(OR(A39="",G39=""),"",G39-A39)</f>
        <v/>
      </c>
      <c r="K39" s="4" t="n"/>
      <c r="L39" s="4" t="n"/>
      <c r="M39" s="4" t="n"/>
    </row>
    <row r="40">
      <c r="A40" s="26" t="inlineStr">
        <is>
          <t>Total</t>
        </is>
      </c>
      <c r="B40" s="26" t="n"/>
      <c r="C40" s="26" t="n"/>
      <c r="D40" s="27">
        <f>SUM(D9:D39)</f>
        <v/>
      </c>
      <c r="E40" s="26" t="n"/>
      <c r="F40" s="26" t="n"/>
      <c r="G40" s="26" t="n"/>
      <c r="H40" s="26" t="n"/>
      <c r="I40" s="27">
        <f>SUM(I9:I39)</f>
        <v/>
      </c>
      <c r="J40" s="26" t="n"/>
      <c r="K40" s="26" t="n"/>
      <c r="L40" s="26" t="n"/>
      <c r="M40" s="26" t="n"/>
    </row>
    <row r="42">
      <c r="A42" s="26" t="inlineStr">
        <is>
          <t>Total cash out</t>
        </is>
      </c>
      <c r="B42" s="27">
        <f>SUM(D9:D39)</f>
        <v/>
      </c>
    </row>
    <row r="43">
      <c r="A43" s="26" t="inlineStr">
        <is>
          <t>Withdrawals just under $10,000</t>
        </is>
      </c>
      <c r="B43" s="32">
        <f>COUNTIF(E9:E39,"Yes")</f>
        <v/>
      </c>
    </row>
    <row r="44">
      <c r="A44" s="26" t="inlineStr">
        <is>
          <t>Matched to subject's deposits</t>
        </is>
      </c>
      <c r="B44" s="27">
        <f>SUM(I9:I39)</f>
        <v/>
      </c>
    </row>
    <row r="45">
      <c r="A45" s="26" t="inlineStr">
        <is>
          <t>Share of cash matched</t>
        </is>
      </c>
      <c r="B45" s="33">
        <f>IF(N(B42)=0,"",B44/B42)</f>
        <v/>
      </c>
    </row>
  </sheetData>
  <mergeCells count="1">
    <mergeCell ref="A4:M6"/>
  </mergeCells>
  <dataValidations count="31">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 sqref="K9:K39" showDropDown="0" showInputMessage="0" showErrorMessage="0" allowBlank="1" type="list">
      <formula1>"Yes,No,Partial"</formula1>
    </dataValidation>
  </dataValidations>
  <pageMargins left="0.75" right="0.75" top="1" bottom="1" header="0.5" footer="0.5"/>
  <pageSetup orientation="landscape" fitToHeight="0" fitToWidth="1"/>
  <headerFooter>
    <oddHeader/>
    <oddFooter>&amp;LWorkpaper C-3&amp;RPage &amp;P of &amp;N</oddFooter>
    <evenHeader/>
    <evenFooter/>
    <firstHeader/>
    <firstFooter/>
  </headerFooter>
</worksheet>
</file>

<file path=xl/worksheets/sheet9.xml><?xml version="1.0" encoding="utf-8"?>
<worksheet xmlns="http://schemas.openxmlformats.org/spreadsheetml/2006/main">
  <sheetPr>
    <tabColor rgb="00246094"/>
    <outlinePr summaryBelow="1" summaryRight="1"/>
    <pageSetUpPr fitToPage="1"/>
  </sheetPr>
  <dimension ref="A1:K40"/>
  <sheetViews>
    <sheetView showGridLines="0" workbookViewId="0">
      <pane ySplit="8" topLeftCell="A9" activePane="bottomLeft" state="frozen"/>
      <selection pane="bottomLeft" activeCell="A1" sqref="A1"/>
    </sheetView>
  </sheetViews>
  <sheetFormatPr baseColWidth="8" defaultRowHeight="15"/>
  <cols>
    <col width="5" customWidth="1" min="1" max="1"/>
    <col width="34" customWidth="1" min="2" max="2"/>
    <col width="14" customWidth="1" min="3" max="3"/>
    <col width="16" customWidth="1" min="4" max="4"/>
    <col width="16" customWidth="1" min="5" max="5"/>
    <col width="13" customWidth="1" min="6" max="6"/>
    <col width="9" customWidth="1" min="7" max="7"/>
    <col width="34" customWidth="1" min="8" max="8"/>
    <col width="34" customWidth="1" min="9" max="9"/>
    <col width="16" customWidth="1" min="10" max="10"/>
    <col width="10" customWidth="1" min="11" max="11"/>
  </cols>
  <sheetData>
    <row r="1">
      <c r="A1" s="12">
        <f>IF(Index!$C$4="","[Case name: fill in on the Index]",Index!$C$4)</f>
        <v/>
      </c>
      <c r="J1" s="13" t="inlineStr">
        <is>
          <t>Prepared by / date</t>
        </is>
      </c>
      <c r="K1" s="4" t="n"/>
    </row>
    <row r="2" ht="22" customHeight="1">
      <c r="A2" s="14" t="inlineStr">
        <is>
          <t>D-1  Red flag log</t>
        </is>
      </c>
      <c r="J2" s="13" t="inlineStr">
        <is>
          <t>Reviewed by / date</t>
        </is>
      </c>
      <c r="K2" s="4" t="n"/>
    </row>
    <row r="4">
      <c r="A4" s="15" t="inlineStr">
        <is>
          <t>Every red flag: the app's "Fraud patterns found" and Document Check warnings, and anything found by hand. A flag is a lead, not a conclusion. Record what was done to follow it up and whether it was explained.</t>
        </is>
      </c>
    </row>
    <row r="5"/>
    <row r="6"/>
    <row r="8" ht="30" customHeight="1">
      <c r="A8" s="5" t="inlineStr">
        <is>
          <t>#</t>
        </is>
      </c>
      <c r="B8" s="5" t="inlineStr">
        <is>
          <t>Red flag</t>
        </is>
      </c>
      <c r="C8" s="5" t="inlineStr">
        <is>
          <t>Source (app / manual)</t>
        </is>
      </c>
      <c r="D8" s="5" t="inlineStr">
        <is>
          <t>Account</t>
        </is>
      </c>
      <c r="E8" s="5" t="inlineStr">
        <is>
          <t>Date(s)</t>
        </is>
      </c>
      <c r="F8" s="5" t="inlineStr">
        <is>
          <t>Amount</t>
        </is>
      </c>
      <c r="G8" s="5" t="inlineStr">
        <is>
          <t>Risk</t>
        </is>
      </c>
      <c r="H8" s="5" t="inlineStr">
        <is>
          <t>Follow-up performed</t>
        </is>
      </c>
      <c r="I8" s="5" t="inlineStr">
        <is>
          <t>Result / explanation</t>
        </is>
      </c>
      <c r="J8" s="5" t="inlineStr">
        <is>
          <t>Status</t>
        </is>
      </c>
      <c r="K8" s="5" t="inlineStr">
        <is>
          <t>WP ref</t>
        </is>
      </c>
    </row>
    <row r="9">
      <c r="A9" s="16" t="n">
        <v>1</v>
      </c>
      <c r="B9" s="17" t="inlineStr">
        <is>
          <t>Cash withdrawals kept just under $10,000</t>
        </is>
      </c>
      <c r="C9" s="17" t="inlineStr">
        <is>
          <t>App</t>
        </is>
      </c>
      <c r="D9" s="17" t="inlineStr">
        <is>
          <t>Larkspur 8701</t>
        </is>
      </c>
      <c r="E9" s="17" t="inlineStr">
        <is>
          <t>04/21-05/23/2025</t>
        </is>
      </c>
      <c r="F9" s="21" t="n">
        <v>33380</v>
      </c>
      <c r="G9" s="17" t="inlineStr">
        <is>
          <t>High</t>
        </is>
      </c>
      <c r="H9" s="17" t="inlineStr">
        <is>
          <t>Searched subject's statements for cash deposits</t>
        </is>
      </c>
      <c r="I9" s="17" t="inlineStr">
        <is>
          <t>$31,800 deposited by Dana 1-4 days later</t>
        </is>
      </c>
      <c r="J9" s="17" t="inlineStr">
        <is>
          <t>Resolved: unexplained</t>
        </is>
      </c>
      <c r="K9" s="17" t="inlineStr">
        <is>
          <t>C-3</t>
        </is>
      </c>
    </row>
    <row r="10">
      <c r="A10" s="18" t="n"/>
      <c r="B10" s="4" t="n"/>
      <c r="C10" s="4" t="n"/>
      <c r="D10" s="4" t="n"/>
      <c r="E10" s="4" t="n"/>
      <c r="F10" s="24" t="n"/>
      <c r="G10" s="4" t="n"/>
      <c r="H10" s="4" t="n"/>
      <c r="I10" s="4" t="n"/>
      <c r="J10" s="4" t="n"/>
      <c r="K10" s="4" t="n"/>
    </row>
    <row r="11">
      <c r="A11" s="18" t="n"/>
      <c r="B11" s="4" t="n"/>
      <c r="C11" s="4" t="n"/>
      <c r="D11" s="4" t="n"/>
      <c r="E11" s="4" t="n"/>
      <c r="F11" s="24" t="n"/>
      <c r="G11" s="4" t="n"/>
      <c r="H11" s="4" t="n"/>
      <c r="I11" s="4" t="n"/>
      <c r="J11" s="4" t="n"/>
      <c r="K11" s="4" t="n"/>
    </row>
    <row r="12">
      <c r="A12" s="18" t="n"/>
      <c r="B12" s="4" t="n"/>
      <c r="C12" s="4" t="n"/>
      <c r="D12" s="4" t="n"/>
      <c r="E12" s="4" t="n"/>
      <c r="F12" s="24" t="n"/>
      <c r="G12" s="4" t="n"/>
      <c r="H12" s="4" t="n"/>
      <c r="I12" s="4" t="n"/>
      <c r="J12" s="4" t="n"/>
      <c r="K12" s="4" t="n"/>
    </row>
    <row r="13">
      <c r="A13" s="18" t="n"/>
      <c r="B13" s="4" t="n"/>
      <c r="C13" s="4" t="n"/>
      <c r="D13" s="4" t="n"/>
      <c r="E13" s="4" t="n"/>
      <c r="F13" s="24" t="n"/>
      <c r="G13" s="4" t="n"/>
      <c r="H13" s="4" t="n"/>
      <c r="I13" s="4" t="n"/>
      <c r="J13" s="4" t="n"/>
      <c r="K13" s="4" t="n"/>
    </row>
    <row r="14">
      <c r="A14" s="18" t="n"/>
      <c r="B14" s="4" t="n"/>
      <c r="C14" s="4" t="n"/>
      <c r="D14" s="4" t="n"/>
      <c r="E14" s="4" t="n"/>
      <c r="F14" s="24" t="n"/>
      <c r="G14" s="4" t="n"/>
      <c r="H14" s="4" t="n"/>
      <c r="I14" s="4" t="n"/>
      <c r="J14" s="4" t="n"/>
      <c r="K14" s="4" t="n"/>
    </row>
    <row r="15">
      <c r="A15" s="18" t="n"/>
      <c r="B15" s="4" t="n"/>
      <c r="C15" s="4" t="n"/>
      <c r="D15" s="4" t="n"/>
      <c r="E15" s="4" t="n"/>
      <c r="F15" s="24" t="n"/>
      <c r="G15" s="4" t="n"/>
      <c r="H15" s="4" t="n"/>
      <c r="I15" s="4" t="n"/>
      <c r="J15" s="4" t="n"/>
      <c r="K15" s="4" t="n"/>
    </row>
    <row r="16">
      <c r="A16" s="18" t="n"/>
      <c r="B16" s="4" t="n"/>
      <c r="C16" s="4" t="n"/>
      <c r="D16" s="4" t="n"/>
      <c r="E16" s="4" t="n"/>
      <c r="F16" s="24" t="n"/>
      <c r="G16" s="4" t="n"/>
      <c r="H16" s="4" t="n"/>
      <c r="I16" s="4" t="n"/>
      <c r="J16" s="4" t="n"/>
      <c r="K16" s="4" t="n"/>
    </row>
    <row r="17">
      <c r="A17" s="18" t="n"/>
      <c r="B17" s="4" t="n"/>
      <c r="C17" s="4" t="n"/>
      <c r="D17" s="4" t="n"/>
      <c r="E17" s="4" t="n"/>
      <c r="F17" s="24" t="n"/>
      <c r="G17" s="4" t="n"/>
      <c r="H17" s="4" t="n"/>
      <c r="I17" s="4" t="n"/>
      <c r="J17" s="4" t="n"/>
      <c r="K17" s="4" t="n"/>
    </row>
    <row r="18">
      <c r="A18" s="18" t="n"/>
      <c r="B18" s="4" t="n"/>
      <c r="C18" s="4" t="n"/>
      <c r="D18" s="4" t="n"/>
      <c r="E18" s="4" t="n"/>
      <c r="F18" s="24" t="n"/>
      <c r="G18" s="4" t="n"/>
      <c r="H18" s="4" t="n"/>
      <c r="I18" s="4" t="n"/>
      <c r="J18" s="4" t="n"/>
      <c r="K18" s="4" t="n"/>
    </row>
    <row r="19">
      <c r="A19" s="18" t="n"/>
      <c r="B19" s="4" t="n"/>
      <c r="C19" s="4" t="n"/>
      <c r="D19" s="4" t="n"/>
      <c r="E19" s="4" t="n"/>
      <c r="F19" s="24" t="n"/>
      <c r="G19" s="4" t="n"/>
      <c r="H19" s="4" t="n"/>
      <c r="I19" s="4" t="n"/>
      <c r="J19" s="4" t="n"/>
      <c r="K19" s="4" t="n"/>
    </row>
    <row r="20">
      <c r="A20" s="18" t="n"/>
      <c r="B20" s="4" t="n"/>
      <c r="C20" s="4" t="n"/>
      <c r="D20" s="4" t="n"/>
      <c r="E20" s="4" t="n"/>
      <c r="F20" s="24" t="n"/>
      <c r="G20" s="4" t="n"/>
      <c r="H20" s="4" t="n"/>
      <c r="I20" s="4" t="n"/>
      <c r="J20" s="4" t="n"/>
      <c r="K20" s="4" t="n"/>
    </row>
    <row r="21">
      <c r="A21" s="18" t="n"/>
      <c r="B21" s="4" t="n"/>
      <c r="C21" s="4" t="n"/>
      <c r="D21" s="4" t="n"/>
      <c r="E21" s="4" t="n"/>
      <c r="F21" s="24" t="n"/>
      <c r="G21" s="4" t="n"/>
      <c r="H21" s="4" t="n"/>
      <c r="I21" s="4" t="n"/>
      <c r="J21" s="4" t="n"/>
      <c r="K21" s="4" t="n"/>
    </row>
    <row r="22">
      <c r="A22" s="18" t="n"/>
      <c r="B22" s="4" t="n"/>
      <c r="C22" s="4" t="n"/>
      <c r="D22" s="4" t="n"/>
      <c r="E22" s="4" t="n"/>
      <c r="F22" s="24" t="n"/>
      <c r="G22" s="4" t="n"/>
      <c r="H22" s="4" t="n"/>
      <c r="I22" s="4" t="n"/>
      <c r="J22" s="4" t="n"/>
      <c r="K22" s="4" t="n"/>
    </row>
    <row r="23">
      <c r="A23" s="18" t="n"/>
      <c r="B23" s="4" t="n"/>
      <c r="C23" s="4" t="n"/>
      <c r="D23" s="4" t="n"/>
      <c r="E23" s="4" t="n"/>
      <c r="F23" s="24" t="n"/>
      <c r="G23" s="4" t="n"/>
      <c r="H23" s="4" t="n"/>
      <c r="I23" s="4" t="n"/>
      <c r="J23" s="4" t="n"/>
      <c r="K23" s="4" t="n"/>
    </row>
    <row r="24">
      <c r="A24" s="18" t="n"/>
      <c r="B24" s="4" t="n"/>
      <c r="C24" s="4" t="n"/>
      <c r="D24" s="4" t="n"/>
      <c r="E24" s="4" t="n"/>
      <c r="F24" s="24" t="n"/>
      <c r="G24" s="4" t="n"/>
      <c r="H24" s="4" t="n"/>
      <c r="I24" s="4" t="n"/>
      <c r="J24" s="4" t="n"/>
      <c r="K24" s="4" t="n"/>
    </row>
    <row r="25">
      <c r="A25" s="18" t="n"/>
      <c r="B25" s="4" t="n"/>
      <c r="C25" s="4" t="n"/>
      <c r="D25" s="4" t="n"/>
      <c r="E25" s="4" t="n"/>
      <c r="F25" s="24" t="n"/>
      <c r="G25" s="4" t="n"/>
      <c r="H25" s="4" t="n"/>
      <c r="I25" s="4" t="n"/>
      <c r="J25" s="4" t="n"/>
      <c r="K25" s="4" t="n"/>
    </row>
    <row r="26">
      <c r="A26" s="18" t="n"/>
      <c r="B26" s="4" t="n"/>
      <c r="C26" s="4" t="n"/>
      <c r="D26" s="4" t="n"/>
      <c r="E26" s="4" t="n"/>
      <c r="F26" s="24" t="n"/>
      <c r="G26" s="4" t="n"/>
      <c r="H26" s="4" t="n"/>
      <c r="I26" s="4" t="n"/>
      <c r="J26" s="4" t="n"/>
      <c r="K26" s="4" t="n"/>
    </row>
    <row r="27">
      <c r="A27" s="18" t="n"/>
      <c r="B27" s="4" t="n"/>
      <c r="C27" s="4" t="n"/>
      <c r="D27" s="4" t="n"/>
      <c r="E27" s="4" t="n"/>
      <c r="F27" s="24" t="n"/>
      <c r="G27" s="4" t="n"/>
      <c r="H27" s="4" t="n"/>
      <c r="I27" s="4" t="n"/>
      <c r="J27" s="4" t="n"/>
      <c r="K27" s="4" t="n"/>
    </row>
    <row r="28">
      <c r="A28" s="18" t="n"/>
      <c r="B28" s="4" t="n"/>
      <c r="C28" s="4" t="n"/>
      <c r="D28" s="4" t="n"/>
      <c r="E28" s="4" t="n"/>
      <c r="F28" s="24" t="n"/>
      <c r="G28" s="4" t="n"/>
      <c r="H28" s="4" t="n"/>
      <c r="I28" s="4" t="n"/>
      <c r="J28" s="4" t="n"/>
      <c r="K28" s="4" t="n"/>
    </row>
    <row r="29">
      <c r="A29" s="18" t="n"/>
      <c r="B29" s="4" t="n"/>
      <c r="C29" s="4" t="n"/>
      <c r="D29" s="4" t="n"/>
      <c r="E29" s="4" t="n"/>
      <c r="F29" s="24" t="n"/>
      <c r="G29" s="4" t="n"/>
      <c r="H29" s="4" t="n"/>
      <c r="I29" s="4" t="n"/>
      <c r="J29" s="4" t="n"/>
      <c r="K29" s="4" t="n"/>
    </row>
    <row r="30">
      <c r="A30" s="18" t="n"/>
      <c r="B30" s="4" t="n"/>
      <c r="C30" s="4" t="n"/>
      <c r="D30" s="4" t="n"/>
      <c r="E30" s="4" t="n"/>
      <c r="F30" s="24" t="n"/>
      <c r="G30" s="4" t="n"/>
      <c r="H30" s="4" t="n"/>
      <c r="I30" s="4" t="n"/>
      <c r="J30" s="4" t="n"/>
      <c r="K30" s="4" t="n"/>
    </row>
    <row r="31">
      <c r="A31" s="18" t="n"/>
      <c r="B31" s="4" t="n"/>
      <c r="C31" s="4" t="n"/>
      <c r="D31" s="4" t="n"/>
      <c r="E31" s="4" t="n"/>
      <c r="F31" s="24" t="n"/>
      <c r="G31" s="4" t="n"/>
      <c r="H31" s="4" t="n"/>
      <c r="I31" s="4" t="n"/>
      <c r="J31" s="4" t="n"/>
      <c r="K31" s="4" t="n"/>
    </row>
    <row r="32">
      <c r="A32" s="18" t="n"/>
      <c r="B32" s="4" t="n"/>
      <c r="C32" s="4" t="n"/>
      <c r="D32" s="4" t="n"/>
      <c r="E32" s="4" t="n"/>
      <c r="F32" s="24" t="n"/>
      <c r="G32" s="4" t="n"/>
      <c r="H32" s="4" t="n"/>
      <c r="I32" s="4" t="n"/>
      <c r="J32" s="4" t="n"/>
      <c r="K32" s="4" t="n"/>
    </row>
    <row r="33">
      <c r="A33" s="18" t="n"/>
      <c r="B33" s="4" t="n"/>
      <c r="C33" s="4" t="n"/>
      <c r="D33" s="4" t="n"/>
      <c r="E33" s="4" t="n"/>
      <c r="F33" s="24" t="n"/>
      <c r="G33" s="4" t="n"/>
      <c r="H33" s="4" t="n"/>
      <c r="I33" s="4" t="n"/>
      <c r="J33" s="4" t="n"/>
      <c r="K33" s="4" t="n"/>
    </row>
    <row r="34">
      <c r="A34" s="18" t="n"/>
      <c r="B34" s="4" t="n"/>
      <c r="C34" s="4" t="n"/>
      <c r="D34" s="4" t="n"/>
      <c r="E34" s="4" t="n"/>
      <c r="F34" s="24" t="n"/>
      <c r="G34" s="4" t="n"/>
      <c r="H34" s="4" t="n"/>
      <c r="I34" s="4" t="n"/>
      <c r="J34" s="4" t="n"/>
      <c r="K34" s="4" t="n"/>
    </row>
    <row r="35">
      <c r="A35" s="18" t="n"/>
      <c r="B35" s="4" t="n"/>
      <c r="C35" s="4" t="n"/>
      <c r="D35" s="4" t="n"/>
      <c r="E35" s="4" t="n"/>
      <c r="F35" s="24" t="n"/>
      <c r="G35" s="4" t="n"/>
      <c r="H35" s="4" t="n"/>
      <c r="I35" s="4" t="n"/>
      <c r="J35" s="4" t="n"/>
      <c r="K35" s="4" t="n"/>
    </row>
    <row r="36">
      <c r="A36" s="18" t="n"/>
      <c r="B36" s="4" t="n"/>
      <c r="C36" s="4" t="n"/>
      <c r="D36" s="4" t="n"/>
      <c r="E36" s="4" t="n"/>
      <c r="F36" s="24" t="n"/>
      <c r="G36" s="4" t="n"/>
      <c r="H36" s="4" t="n"/>
      <c r="I36" s="4" t="n"/>
      <c r="J36" s="4" t="n"/>
      <c r="K36" s="4" t="n"/>
    </row>
    <row r="37">
      <c r="A37" s="18" t="n"/>
      <c r="B37" s="4" t="n"/>
      <c r="C37" s="4" t="n"/>
      <c r="D37" s="4" t="n"/>
      <c r="E37" s="4" t="n"/>
      <c r="F37" s="24" t="n"/>
      <c r="G37" s="4" t="n"/>
      <c r="H37" s="4" t="n"/>
      <c r="I37" s="4" t="n"/>
      <c r="J37" s="4" t="n"/>
      <c r="K37" s="4" t="n"/>
    </row>
    <row r="38">
      <c r="A38" s="18" t="n"/>
      <c r="B38" s="4" t="n"/>
      <c r="C38" s="4" t="n"/>
      <c r="D38" s="4" t="n"/>
      <c r="E38" s="4" t="n"/>
      <c r="F38" s="24" t="n"/>
      <c r="G38" s="4" t="n"/>
      <c r="H38" s="4" t="n"/>
      <c r="I38" s="4" t="n"/>
      <c r="J38" s="4" t="n"/>
      <c r="K38" s="4" t="n"/>
    </row>
    <row r="39">
      <c r="A39" s="18" t="n"/>
      <c r="B39" s="4" t="n"/>
      <c r="C39" s="4" t="n"/>
      <c r="D39" s="4" t="n"/>
      <c r="E39" s="4" t="n"/>
      <c r="F39" s="24" t="n"/>
      <c r="G39" s="4" t="n"/>
      <c r="H39" s="4" t="n"/>
      <c r="I39" s="4" t="n"/>
      <c r="J39" s="4" t="n"/>
      <c r="K39" s="4" t="n"/>
    </row>
    <row r="40">
      <c r="A40" s="26" t="inlineStr">
        <is>
          <t>Total</t>
        </is>
      </c>
      <c r="B40" s="26" t="n"/>
      <c r="C40" s="26" t="n"/>
      <c r="D40" s="26" t="n"/>
      <c r="E40" s="26" t="n"/>
      <c r="F40" s="27">
        <f>SUM(F9:F39)</f>
        <v/>
      </c>
      <c r="G40" s="26" t="n"/>
      <c r="H40" s="26" t="n"/>
      <c r="I40" s="26" t="n"/>
      <c r="J40" s="26" t="n"/>
      <c r="K40" s="26" t="n"/>
    </row>
  </sheetData>
  <mergeCells count="1">
    <mergeCell ref="A4:K6"/>
  </mergeCells>
  <dataValidations count="62">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 sqref="G9:G39" showDropDown="0" showInputMessage="0" showErrorMessage="0" allowBlank="1" type="list">
      <formula1>"High,Medium,Low"</formula1>
    </dataValidation>
    <dataValidation sqref="J9:J39" showDropDown="0" showInputMessage="0" showErrorMessage="0" allowBlank="1" type="list">
      <formula1>"Open,Resolved: explained,Resolved: unexplained,Referred"</formula1>
    </dataValidation>
  </dataValidations>
  <pageMargins left="0.75" right="0.75" top="1" bottom="1" header="0.5" footer="0.5"/>
  <pageSetup orientation="landscape" fitToHeight="0" fitToWidth="1"/>
  <headerFooter>
    <oddHeader/>
    <oddFooter>&amp;LWorkpaper D-1&amp;RPage &amp;P of &amp;N</oddFooter>
    <evenHeader/>
    <evenFooter/>
    <firstHeader/>
    <firstFooter/>
  </headerFooter>
</worksheet>
</file>

<file path=xl/worksheets/sheet10.xml><?xml version="1.0" encoding="utf-8"?>
<worksheet xmlns="http://schemas.openxmlformats.org/spreadsheetml/2006/main">
  <sheetPr>
    <tabColor rgb="00246094"/>
    <outlinePr summaryBelow="1" summaryRight="1"/>
    <pageSetUpPr fitToPage="1"/>
  </sheetPr>
  <dimension ref="A1:F30"/>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52" customWidth="1" min="1" max="1"/>
    <col width="20" customWidth="1" min="2" max="2"/>
    <col width="20" customWidth="1" min="3" max="3"/>
    <col width="20" customWidth="1" min="4" max="4"/>
    <col width="20" customWidth="1" min="5" max="5"/>
    <col width="40" customWidth="1" min="6" max="6"/>
  </cols>
  <sheetData>
    <row r="1">
      <c r="A1" s="12">
        <f>IF(Index!$C$4="","[Case name: fill in on the Index]",Index!$C$4)</f>
        <v/>
      </c>
      <c r="E1" s="13" t="inlineStr">
        <is>
          <t>Prepared by / date</t>
        </is>
      </c>
      <c r="F1" s="4" t="n"/>
    </row>
    <row r="2" ht="22" customHeight="1">
      <c r="A2" s="14" t="inlineStr">
        <is>
          <t>D-2  Document authenticity</t>
        </is>
      </c>
      <c r="E2" s="13" t="inlineStr">
        <is>
          <t>Reviewed by / date</t>
        </is>
      </c>
      <c r="F2" s="4" t="n"/>
    </row>
    <row r="4">
      <c r="A4" s="15" t="inlineStr">
        <is>
          <t>One column per questioned document. Fill in the app's Document Check result for each check, then the checks only a person can do. A warning is a reason to get the statement directly from the bank; a clean result doesn't prove a document is genuine.</t>
        </is>
      </c>
    </row>
    <row r="5"/>
    <row r="6"/>
    <row r="8">
      <c r="A8" s="5" t="inlineStr">
        <is>
          <t>Check</t>
        </is>
      </c>
      <c r="B8" s="5" t="inlineStr">
        <is>
          <t>Document 1:</t>
        </is>
      </c>
      <c r="C8" s="5" t="inlineStr">
        <is>
          <t>Document 2:</t>
        </is>
      </c>
      <c r="D8" s="5" t="inlineStr">
        <is>
          <t>Document 3:</t>
        </is>
      </c>
      <c r="E8" s="5" t="inlineStr">
        <is>
          <t>Document 4:</t>
        </is>
      </c>
      <c r="F8" s="5" t="inlineStr">
        <is>
          <t>Notes</t>
        </is>
      </c>
    </row>
    <row r="9">
      <c r="A9" s="7" t="inlineStr">
        <is>
          <t>Software that made the PDF</t>
        </is>
      </c>
      <c r="B9" s="4" t="n"/>
      <c r="C9" s="4" t="n"/>
      <c r="D9" s="4" t="n"/>
      <c r="E9" s="4" t="n"/>
      <c r="F9" s="4" t="n"/>
    </row>
    <row r="10">
      <c r="A10" s="7" t="inlineStr">
        <is>
          <t>Saved again after it was created</t>
        </is>
      </c>
      <c r="B10" s="4" t="n"/>
      <c r="C10" s="4" t="n"/>
      <c r="D10" s="4" t="n"/>
      <c r="E10" s="4" t="n"/>
      <c r="F10" s="4" t="n"/>
    </row>
    <row r="11">
      <c r="A11" s="7" t="inlineStr">
        <is>
          <t>Fonts on transaction lines</t>
        </is>
      </c>
      <c r="B11" s="4" t="n"/>
      <c r="C11" s="4" t="n"/>
      <c r="D11" s="4" t="n"/>
      <c r="E11" s="4" t="n"/>
      <c r="F11" s="4" t="n"/>
    </row>
    <row r="12">
      <c r="A12" s="7" t="inlineStr">
        <is>
          <t>Page numbers match the file</t>
        </is>
      </c>
      <c r="B12" s="4" t="n"/>
      <c r="C12" s="4" t="n"/>
      <c r="D12" s="4" t="n"/>
      <c r="E12" s="4" t="n"/>
      <c r="F12" s="4" t="n"/>
    </row>
    <row r="13">
      <c r="A13" s="7" t="inlineStr">
        <is>
          <t>Dates inside the statement period</t>
        </is>
      </c>
      <c r="B13" s="4" t="n"/>
      <c r="C13" s="4" t="n"/>
      <c r="D13" s="4" t="n"/>
      <c r="E13" s="4" t="n"/>
      <c r="F13" s="4" t="n"/>
    </row>
    <row r="14">
      <c r="A14" s="7" t="inlineStr">
        <is>
          <t>Transactions in date order</t>
        </is>
      </c>
      <c r="B14" s="4" t="n"/>
      <c r="C14" s="4" t="n"/>
      <c r="D14" s="4" t="n"/>
      <c r="E14" s="4" t="n"/>
      <c r="F14" s="4" t="n"/>
    </row>
    <row r="15">
      <c r="A15" s="7" t="inlineStr">
        <is>
          <t>Descriptions match money in and out</t>
        </is>
      </c>
      <c r="B15" s="4" t="n"/>
      <c r="C15" s="4" t="n"/>
      <c r="D15" s="4" t="n"/>
      <c r="E15" s="4" t="n"/>
      <c r="F15" s="4" t="n"/>
    </row>
    <row r="16">
      <c r="A16" s="7" t="inlineStr">
        <is>
          <t>Running balances add up</t>
        </is>
      </c>
      <c r="B16" s="4" t="n"/>
      <c r="C16" s="4" t="n"/>
      <c r="D16" s="4" t="n"/>
      <c r="E16" s="4" t="n"/>
      <c r="F16" s="4" t="n"/>
    </row>
    <row r="17">
      <c r="A17" s="7" t="inlineStr">
        <is>
          <t>Summary agrees with the transactions</t>
        </is>
      </c>
      <c r="B17" s="4" t="n"/>
      <c r="C17" s="4" t="n"/>
      <c r="D17" s="4" t="n"/>
      <c r="E17" s="4" t="n"/>
      <c r="F17" s="4" t="n"/>
    </row>
    <row r="18">
      <c r="A18" s="7" t="inlineStr">
        <is>
          <t>Amounts formatted consistently</t>
        </is>
      </c>
      <c r="B18" s="4" t="n"/>
      <c r="C18" s="4" t="n"/>
      <c r="D18" s="4" t="n"/>
      <c r="E18" s="4" t="n"/>
      <c r="F18" s="4" t="n"/>
    </row>
    <row r="19">
      <c r="A19" s="7" t="inlineStr">
        <is>
          <t>Text left by an AI tool</t>
        </is>
      </c>
      <c r="B19" s="4" t="n"/>
      <c r="C19" s="4" t="n"/>
      <c r="D19" s="4" t="n"/>
      <c r="E19" s="4" t="n"/>
      <c r="F19" s="4" t="n"/>
    </row>
    <row r="20">
      <c r="A20" s="7" t="inlineStr">
        <is>
          <t>Dates that exist</t>
        </is>
      </c>
      <c r="B20" s="4" t="n"/>
      <c r="C20" s="4" t="n"/>
      <c r="D20" s="4" t="n"/>
      <c r="E20" s="4" t="n"/>
      <c r="F20" s="4" t="n"/>
    </row>
    <row r="21">
      <c r="A21" s="7" t="inlineStr">
        <is>
          <t>Routing number</t>
        </is>
      </c>
      <c r="B21" s="4" t="n"/>
      <c r="C21" s="4" t="n"/>
      <c r="D21" s="4" t="n"/>
      <c r="E21" s="4" t="n"/>
      <c r="F21" s="4" t="n"/>
    </row>
    <row r="22">
      <c r="A22" s="7" t="inlineStr">
        <is>
          <t>Account number the same throughout</t>
        </is>
      </c>
      <c r="B22" s="4" t="n"/>
      <c r="C22" s="4" t="n"/>
      <c r="D22" s="4" t="n"/>
      <c r="E22" s="4" t="n"/>
      <c r="F22" s="4" t="n"/>
    </row>
    <row r="23">
      <c r="A23" s="3" t="inlineStr">
        <is>
          <t>App's overall result</t>
        </is>
      </c>
      <c r="B23" s="4" t="n"/>
      <c r="C23" s="4" t="n"/>
      <c r="D23" s="4" t="n"/>
      <c r="E23" s="4" t="n"/>
      <c r="F23" s="4" t="n"/>
    </row>
    <row r="24">
      <c r="A24" s="7" t="inlineStr">
        <is>
          <t>By hand: compared with a copy obtained directly from the bank</t>
        </is>
      </c>
      <c r="B24" s="4" t="n"/>
      <c r="C24" s="4" t="n"/>
      <c r="D24" s="4" t="n"/>
      <c r="E24" s="4" t="n"/>
      <c r="F24" s="4" t="n"/>
    </row>
    <row r="25">
      <c r="A25" s="7" t="inlineStr">
        <is>
          <t>By hand: transactions agree with the other party's records</t>
        </is>
      </c>
      <c r="B25" s="4" t="n"/>
      <c r="C25" s="4" t="n"/>
      <c r="D25" s="4" t="n"/>
      <c r="E25" s="4" t="n"/>
      <c r="F25" s="4" t="n"/>
    </row>
    <row r="26">
      <c r="A26" s="7" t="inlineStr">
        <is>
          <t>By hand: claimed transfers appear in the receiving account</t>
        </is>
      </c>
      <c r="B26" s="4" t="n"/>
      <c r="C26" s="4" t="n"/>
      <c r="D26" s="4" t="n"/>
      <c r="E26" s="4" t="n"/>
      <c r="F26" s="4" t="n"/>
    </row>
    <row r="27">
      <c r="A27" s="7" t="inlineStr">
        <is>
          <t>By hand: other observations</t>
        </is>
      </c>
      <c r="B27" s="4" t="n"/>
      <c r="C27" s="4" t="n"/>
      <c r="D27" s="4" t="n"/>
      <c r="E27" s="4" t="n"/>
      <c r="F27" s="4" t="n"/>
    </row>
    <row r="29">
      <c r="A29" s="8" t="inlineStr">
        <is>
          <t>Conclusion for each document</t>
        </is>
      </c>
    </row>
    <row r="30" ht="60" customHeight="1">
      <c r="B30" s="4" t="n"/>
      <c r="C30" s="4" t="n"/>
      <c r="D30" s="4" t="n"/>
      <c r="E30" s="4" t="n"/>
    </row>
  </sheetData>
  <mergeCells count="1">
    <mergeCell ref="A4:F6"/>
  </mergeCells>
  <dataValidations count="15">
    <dataValidation sqref="B9:E9" showDropDown="0" showInputMessage="0" showErrorMessage="0" allowBlank="1" type="list">
      <formula1>"Looks normal,Worth checking,Note,Not checked,N/A"</formula1>
    </dataValidation>
    <dataValidation sqref="B10:E10" showDropDown="0" showInputMessage="0" showErrorMessage="0" allowBlank="1" type="list">
      <formula1>"Looks normal,Worth checking,Note,Not checked,N/A"</formula1>
    </dataValidation>
    <dataValidation sqref="B11:E11" showDropDown="0" showInputMessage="0" showErrorMessage="0" allowBlank="1" type="list">
      <formula1>"Looks normal,Worth checking,Note,Not checked,N/A"</formula1>
    </dataValidation>
    <dataValidation sqref="B12:E12" showDropDown="0" showInputMessage="0" showErrorMessage="0" allowBlank="1" type="list">
      <formula1>"Looks normal,Worth checking,Note,Not checked,N/A"</formula1>
    </dataValidation>
    <dataValidation sqref="B13:E13" showDropDown="0" showInputMessage="0" showErrorMessage="0" allowBlank="1" type="list">
      <formula1>"Looks normal,Worth checking,Note,Not checked,N/A"</formula1>
    </dataValidation>
    <dataValidation sqref="B14:E14" showDropDown="0" showInputMessage="0" showErrorMessage="0" allowBlank="1" type="list">
      <formula1>"Looks normal,Worth checking,Note,Not checked,N/A"</formula1>
    </dataValidation>
    <dataValidation sqref="B15:E15" showDropDown="0" showInputMessage="0" showErrorMessage="0" allowBlank="1" type="list">
      <formula1>"Looks normal,Worth checking,Note,Not checked,N/A"</formula1>
    </dataValidation>
    <dataValidation sqref="B16:E16" showDropDown="0" showInputMessage="0" showErrorMessage="0" allowBlank="1" type="list">
      <formula1>"Looks normal,Worth checking,Note,Not checked,N/A"</formula1>
    </dataValidation>
    <dataValidation sqref="B17:E17" showDropDown="0" showInputMessage="0" showErrorMessage="0" allowBlank="1" type="list">
      <formula1>"Looks normal,Worth checking,Note,Not checked,N/A"</formula1>
    </dataValidation>
    <dataValidation sqref="B18:E18" showDropDown="0" showInputMessage="0" showErrorMessage="0" allowBlank="1" type="list">
      <formula1>"Looks normal,Worth checking,Note,Not checked,N/A"</formula1>
    </dataValidation>
    <dataValidation sqref="B19:E19" showDropDown="0" showInputMessage="0" showErrorMessage="0" allowBlank="1" type="list">
      <formula1>"Looks normal,Worth checking,Note,Not checked,N/A"</formula1>
    </dataValidation>
    <dataValidation sqref="B20:E20" showDropDown="0" showInputMessage="0" showErrorMessage="0" allowBlank="1" type="list">
      <formula1>"Looks normal,Worth checking,Note,Not checked,N/A"</formula1>
    </dataValidation>
    <dataValidation sqref="B21:E21" showDropDown="0" showInputMessage="0" showErrorMessage="0" allowBlank="1" type="list">
      <formula1>"Looks normal,Worth checking,Note,Not checked,N/A"</formula1>
    </dataValidation>
    <dataValidation sqref="B22:E22" showDropDown="0" showInputMessage="0" showErrorMessage="0" allowBlank="1" type="list">
      <formula1>"Looks normal,Worth checking,Note,Not checked,N/A"</formula1>
    </dataValidation>
    <dataValidation sqref="B23:E23" showDropDown="0" showInputMessage="0" showErrorMessage="0" allowBlank="1" type="list">
      <formula1>"Looks normal,Worth checking,May have been altered,May be AI-generated,Not checked"</formula1>
    </dataValidation>
  </dataValidations>
  <pageMargins left="0.75" right="0.75" top="1" bottom="1" header="0.5" footer="0.5"/>
  <pageSetup orientation="landscape" fitToHeight="0" fitToWidth="1"/>
  <headerFooter>
    <oddHeader/>
    <oddFooter>&amp;LWorkpaper D-2&amp;RPage &amp;P of &amp;N</oddFooter>
    <evenHeader/>
    <evenFooter/>
    <firstHeader/>
    <firstFooter/>
  </headerFooter>
</worksheet>
</file>

<file path=xl/worksheets/sheet11.xml><?xml version="1.0" encoding="utf-8"?>
<worksheet xmlns="http://schemas.openxmlformats.org/spreadsheetml/2006/main">
  <sheetPr>
    <tabColor rgb="00246094"/>
    <outlinePr summaryBelow="1" summaryRight="1"/>
    <pageSetUpPr fitToPage="1"/>
  </sheetPr>
  <dimension ref="A1:G30"/>
  <sheetViews>
    <sheetView showGridLines="0" workbookViewId="0">
      <pane ySplit="8" topLeftCell="A9" activePane="bottomLeft" state="frozen"/>
      <selection pane="bottomLeft" activeCell="A1" sqref="A1"/>
    </sheetView>
  </sheetViews>
  <sheetFormatPr baseColWidth="8" defaultRowHeight="15"/>
  <cols>
    <col width="40" customWidth="1" min="1" max="1"/>
    <col width="14" customWidth="1" min="2" max="2"/>
    <col width="20" customWidth="1" min="3" max="3"/>
    <col width="9" customWidth="1" min="4" max="4"/>
    <col width="12" customWidth="1" min="5" max="5"/>
    <col width="40" customWidth="1" min="6" max="6"/>
    <col width="30" customWidth="1" min="7" max="7"/>
  </cols>
  <sheetData>
    <row r="1">
      <c r="A1" s="12">
        <f>IF(Index!$C$4="","[Case name: fill in on the Index]",Index!$C$4)</f>
        <v/>
      </c>
      <c r="F1" s="13" t="inlineStr">
        <is>
          <t>Prepared by / date</t>
        </is>
      </c>
      <c r="G1" s="4" t="n"/>
    </row>
    <row r="2" ht="22" customHeight="1">
      <c r="A2" s="14" t="inlineStr">
        <is>
          <t>E-1  Loss calculation</t>
        </is>
      </c>
      <c r="F2" s="13" t="inlineStr">
        <is>
          <t>Reviewed by / date</t>
        </is>
      </c>
      <c r="G2" s="4" t="n"/>
    </row>
    <row r="4">
      <c r="A4" s="15" t="inlineStr">
        <is>
          <t>Build the amount up from the workpapers, one line per component, and say what each rests on. Only lines marked Include = Yes count in the total; the summary splits the total by basis so the reader sees what is traced and what is only unexplained.</t>
        </is>
      </c>
    </row>
    <row r="5"/>
    <row r="6"/>
    <row r="8" ht="30" customHeight="1">
      <c r="A8" s="5" t="inlineStr">
        <is>
          <t>Component</t>
        </is>
      </c>
      <c r="B8" s="5" t="inlineStr">
        <is>
          <t>Amount</t>
        </is>
      </c>
      <c r="C8" s="5" t="inlineStr">
        <is>
          <t>Basis</t>
        </is>
      </c>
      <c r="D8" s="5" t="inlineStr">
        <is>
          <t>Include?</t>
        </is>
      </c>
      <c r="E8" s="5" t="inlineStr">
        <is>
          <t>WP ref</t>
        </is>
      </c>
      <c r="F8" s="5" t="inlineStr">
        <is>
          <t>Calculation / support</t>
        </is>
      </c>
      <c r="G8" s="5" t="inlineStr">
        <is>
          <t>Notes</t>
        </is>
      </c>
    </row>
    <row r="9">
      <c r="A9" s="17" t="inlineStr">
        <is>
          <t>Payments to DP Companion Care LLC and Dana Pruitt, less invoiced care</t>
        </is>
      </c>
      <c r="B9" s="21" t="n">
        <v>33824</v>
      </c>
      <c r="C9" s="17" t="inlineStr">
        <is>
          <t>Unsupported payment</t>
        </is>
      </c>
      <c r="D9" s="17" t="inlineStr">
        <is>
          <t>Yes</t>
        </is>
      </c>
      <c r="E9" s="17" t="inlineStr">
        <is>
          <t>C-1, C-2</t>
        </is>
      </c>
      <c r="F9" s="17" t="inlineStr">
        <is>
          <t>$34,400 paid - $576 invoiced</t>
        </is>
      </c>
      <c r="G9" s="17" t="inlineStr"/>
    </row>
    <row r="10">
      <c r="A10" s="4" t="n"/>
      <c r="B10" s="24" t="n"/>
      <c r="C10" s="4" t="n"/>
      <c r="D10" s="4" t="n"/>
      <c r="E10" s="4" t="n"/>
      <c r="F10" s="4" t="n"/>
      <c r="G10" s="4" t="n"/>
    </row>
    <row r="11">
      <c r="A11" s="4" t="n"/>
      <c r="B11" s="24" t="n"/>
      <c r="C11" s="4" t="n"/>
      <c r="D11" s="4" t="n"/>
      <c r="E11" s="4" t="n"/>
      <c r="F11" s="4" t="n"/>
      <c r="G11" s="4" t="n"/>
    </row>
    <row r="12">
      <c r="A12" s="4" t="n"/>
      <c r="B12" s="24" t="n"/>
      <c r="C12" s="4" t="n"/>
      <c r="D12" s="4" t="n"/>
      <c r="E12" s="4" t="n"/>
      <c r="F12" s="4" t="n"/>
      <c r="G12" s="4" t="n"/>
    </row>
    <row r="13">
      <c r="A13" s="4" t="n"/>
      <c r="B13" s="24" t="n"/>
      <c r="C13" s="4" t="n"/>
      <c r="D13" s="4" t="n"/>
      <c r="E13" s="4" t="n"/>
      <c r="F13" s="4" t="n"/>
      <c r="G13" s="4" t="n"/>
    </row>
    <row r="14">
      <c r="A14" s="4" t="n"/>
      <c r="B14" s="24" t="n"/>
      <c r="C14" s="4" t="n"/>
      <c r="D14" s="4" t="n"/>
      <c r="E14" s="4" t="n"/>
      <c r="F14" s="4" t="n"/>
      <c r="G14" s="4" t="n"/>
    </row>
    <row r="15">
      <c r="A15" s="4" t="n"/>
      <c r="B15" s="24" t="n"/>
      <c r="C15" s="4" t="n"/>
      <c r="D15" s="4" t="n"/>
      <c r="E15" s="4" t="n"/>
      <c r="F15" s="4" t="n"/>
      <c r="G15" s="4" t="n"/>
    </row>
    <row r="16">
      <c r="A16" s="4" t="n"/>
      <c r="B16" s="24" t="n"/>
      <c r="C16" s="4" t="n"/>
      <c r="D16" s="4" t="n"/>
      <c r="E16" s="4" t="n"/>
      <c r="F16" s="4" t="n"/>
      <c r="G16" s="4" t="n"/>
    </row>
    <row r="17">
      <c r="A17" s="4" t="n"/>
      <c r="B17" s="24" t="n"/>
      <c r="C17" s="4" t="n"/>
      <c r="D17" s="4" t="n"/>
      <c r="E17" s="4" t="n"/>
      <c r="F17" s="4" t="n"/>
      <c r="G17" s="4" t="n"/>
    </row>
    <row r="18">
      <c r="A18" s="4" t="n"/>
      <c r="B18" s="24" t="n"/>
      <c r="C18" s="4" t="n"/>
      <c r="D18" s="4" t="n"/>
      <c r="E18" s="4" t="n"/>
      <c r="F18" s="4" t="n"/>
      <c r="G18" s="4" t="n"/>
    </row>
    <row r="19">
      <c r="A19" s="4" t="n"/>
      <c r="B19" s="24" t="n"/>
      <c r="C19" s="4" t="n"/>
      <c r="D19" s="4" t="n"/>
      <c r="E19" s="4" t="n"/>
      <c r="F19" s="4" t="n"/>
      <c r="G19" s="4" t="n"/>
    </row>
    <row r="20">
      <c r="A20" s="4" t="n"/>
      <c r="B20" s="24" t="n"/>
      <c r="C20" s="4" t="n"/>
      <c r="D20" s="4" t="n"/>
      <c r="E20" s="4" t="n"/>
      <c r="F20" s="4" t="n"/>
      <c r="G20" s="4" t="n"/>
    </row>
    <row r="21">
      <c r="A21" s="4" t="n"/>
      <c r="B21" s="24" t="n"/>
      <c r="C21" s="4" t="n"/>
      <c r="D21" s="4" t="n"/>
      <c r="E21" s="4" t="n"/>
      <c r="F21" s="4" t="n"/>
      <c r="G21" s="4" t="n"/>
    </row>
    <row r="22">
      <c r="A22" s="4" t="n"/>
      <c r="B22" s="24" t="n"/>
      <c r="C22" s="4" t="n"/>
      <c r="D22" s="4" t="n"/>
      <c r="E22" s="4" t="n"/>
      <c r="F22" s="4" t="n"/>
      <c r="G22" s="4" t="n"/>
    </row>
    <row r="23">
      <c r="A23" s="4" t="n"/>
      <c r="B23" s="24" t="n"/>
      <c r="C23" s="4" t="n"/>
      <c r="D23" s="4" t="n"/>
      <c r="E23" s="4" t="n"/>
      <c r="F23" s="4" t="n"/>
      <c r="G23" s="4" t="n"/>
    </row>
    <row r="24">
      <c r="A24" s="4" t="n"/>
      <c r="B24" s="24" t="n"/>
      <c r="C24" s="4" t="n"/>
      <c r="D24" s="4" t="n"/>
      <c r="E24" s="4" t="n"/>
      <c r="F24" s="4" t="n"/>
      <c r="G24" s="4" t="n"/>
    </row>
    <row r="26">
      <c r="A26" s="26" t="inlineStr">
        <is>
          <t>Total included</t>
        </is>
      </c>
      <c r="B26" s="27">
        <f>SUMIFS(B9:B24,D9:D24,"Yes")</f>
        <v/>
      </c>
    </row>
    <row r="27">
      <c r="A27" s="7" t="inlineStr">
        <is>
          <t xml:space="preserve">  of which: Traced to subject</t>
        </is>
      </c>
      <c r="B27" s="25">
        <f>SUMIFS(B9:B24,D9:D24,"Yes",C9:C24,"Traced to subject")</f>
        <v/>
      </c>
    </row>
    <row r="28">
      <c r="A28" s="7" t="inlineStr">
        <is>
          <t xml:space="preserve">  of which: Unsupported payment</t>
        </is>
      </c>
      <c r="B28" s="25">
        <f>SUMIFS(B9:B24,D9:D24,"Yes",C9:C24,"Unsupported payment")</f>
        <v/>
      </c>
    </row>
    <row r="29">
      <c r="A29" s="7" t="inlineStr">
        <is>
          <t xml:space="preserve">  of which: Unexplained</t>
        </is>
      </c>
      <c r="B29" s="25">
        <f>SUMIFS(B9:B24,D9:D24,"Yes",C9:C24,"Unexplained")</f>
        <v/>
      </c>
    </row>
    <row r="30">
      <c r="A30" s="7" t="inlineStr">
        <is>
          <t xml:space="preserve">  of which: Supported (exclude)</t>
        </is>
      </c>
      <c r="B30" s="25">
        <f>SUMIFS(B9:B24,D9:D24,"Yes",C9:C24,"Supported (exclude)")</f>
        <v/>
      </c>
    </row>
  </sheetData>
  <mergeCells count="1">
    <mergeCell ref="A4:G6"/>
  </mergeCells>
  <dataValidations count="32">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 sqref="C9:C24" showDropDown="0" showInputMessage="0" showErrorMessage="0" allowBlank="1" type="list">
      <formula1>"Traced to subject,Unsupported payment,Unexplained,Supported (exclude)"</formula1>
    </dataValidation>
    <dataValidation sqref="D9:D24" showDropDown="0" showInputMessage="0" showErrorMessage="0" allowBlank="1" type="list">
      <formula1>"Yes,No"</formula1>
    </dataValidation>
  </dataValidations>
  <pageMargins left="0.75" right="0.75" top="1" bottom="1" header="0.5" footer="0.5"/>
  <pageSetup orientation="landscape" fitToHeight="0" fitToWidth="1"/>
  <headerFooter>
    <oddHeader/>
    <oddFooter>&amp;LWorkpaper E-1&amp;RPage &amp;P of &amp;N</oddFooter>
    <evenHeader/>
    <evenFooter/>
    <firstHeader/>
    <firstFooter/>
  </headerFooter>
</worksheet>
</file>

<file path=xl/worksheets/sheet12.xml><?xml version="1.0" encoding="utf-8"?>
<worksheet xmlns="http://schemas.openxmlformats.org/spreadsheetml/2006/main">
  <sheetPr>
    <tabColor rgb="00246094"/>
    <outlinePr summaryBelow="1" summaryRight="1"/>
    <pageSetUpPr fitToPage="1"/>
  </sheetPr>
  <dimension ref="A1:F19"/>
  <sheetViews>
    <sheetView showGridLines="0" workbookViewId="0">
      <pane ySplit="8" topLeftCell="A9" activePane="bottomLeft" state="frozen"/>
      <selection pane="bottomLeft" activeCell="A1" sqref="A1"/>
    </sheetView>
  </sheetViews>
  <sheetFormatPr baseColWidth="8" defaultRowHeight="15"/>
  <cols>
    <col width="5" customWidth="1" min="1" max="1"/>
    <col width="34" customWidth="1" min="2" max="2"/>
    <col width="60" customWidth="1" min="3" max="3"/>
    <col width="14" customWidth="1" min="4" max="4"/>
    <col width="16" customWidth="1" min="5" max="5"/>
    <col width="40" customWidth="1" min="6" max="6"/>
  </cols>
  <sheetData>
    <row r="1">
      <c r="A1" s="12">
        <f>IF(Index!$C$4="","[Case name: fill in on the Index]",Index!$C$4)</f>
        <v/>
      </c>
      <c r="E1" s="13" t="inlineStr">
        <is>
          <t>Prepared by / date</t>
        </is>
      </c>
      <c r="F1" s="4" t="n"/>
    </row>
    <row r="2" ht="22" customHeight="1">
      <c r="A2" s="14" t="inlineStr">
        <is>
          <t>F-1  Findings summary</t>
        </is>
      </c>
      <c r="E2" s="13" t="inlineStr">
        <is>
          <t>Reviewed by / date</t>
        </is>
      </c>
      <c r="F2" s="4" t="n"/>
    </row>
    <row r="4">
      <c r="A4" s="15" t="inlineStr">
        <is>
          <t>One row per question on A-1. State what the records show, the amount, and the workpapers behind it. Write findings as "consistent with" or "not consistent with" the explanations offered; leave intent and guilt to the court. Say what you could not determine and what record would settle it.</t>
        </is>
      </c>
    </row>
    <row r="5"/>
    <row r="6"/>
    <row r="8" ht="30" customHeight="1">
      <c r="A8" s="5" t="inlineStr">
        <is>
          <t>#</t>
        </is>
      </c>
      <c r="B8" s="5" t="inlineStr">
        <is>
          <t>Question (from A-1)</t>
        </is>
      </c>
      <c r="C8" s="5" t="inlineStr">
        <is>
          <t>Finding</t>
        </is>
      </c>
      <c r="D8" s="5" t="inlineStr">
        <is>
          <t>Amount</t>
        </is>
      </c>
      <c r="E8" s="5" t="inlineStr">
        <is>
          <t>Support (WP refs)</t>
        </is>
      </c>
      <c r="F8" s="5" t="inlineStr">
        <is>
          <t>Limitations / not determined</t>
        </is>
      </c>
    </row>
    <row r="9">
      <c r="A9" s="16" t="n">
        <v>4</v>
      </c>
      <c r="B9" s="17" t="inlineStr">
        <is>
          <t>Does the Wrenfield statement show the $24,000 was repaid?</t>
        </is>
      </c>
      <c r="C9" s="17" t="inlineStr">
        <is>
          <t>The statement has four signs of an AI-generated document, and the repayments it shows do not appear in Mrs. Hartwell's May statement. Not consistent with repayment.</t>
        </is>
      </c>
      <c r="D9" s="21" t="n">
        <v>24000</v>
      </c>
      <c r="E9" s="17" t="inlineStr">
        <is>
          <t>A-2, D-2</t>
        </is>
      </c>
      <c r="F9" s="17" t="inlineStr">
        <is>
          <t>Wrenfield Trust Bank not contacted</t>
        </is>
      </c>
    </row>
    <row r="10">
      <c r="A10" s="18" t="n"/>
      <c r="B10" s="4" t="n"/>
      <c r="C10" s="4" t="n"/>
      <c r="D10" s="24" t="n"/>
      <c r="E10" s="4" t="n"/>
      <c r="F10" s="4" t="n"/>
    </row>
    <row r="11">
      <c r="A11" s="18" t="n"/>
      <c r="B11" s="4" t="n"/>
      <c r="C11" s="4" t="n"/>
      <c r="D11" s="24" t="n"/>
      <c r="E11" s="4" t="n"/>
      <c r="F11" s="4" t="n"/>
    </row>
    <row r="12">
      <c r="A12" s="18" t="n"/>
      <c r="B12" s="4" t="n"/>
      <c r="C12" s="4" t="n"/>
      <c r="D12" s="24" t="n"/>
      <c r="E12" s="4" t="n"/>
      <c r="F12" s="4" t="n"/>
    </row>
    <row r="13">
      <c r="A13" s="18" t="n"/>
      <c r="B13" s="4" t="n"/>
      <c r="C13" s="4" t="n"/>
      <c r="D13" s="24" t="n"/>
      <c r="E13" s="4" t="n"/>
      <c r="F13" s="4" t="n"/>
    </row>
    <row r="14">
      <c r="A14" s="18" t="n"/>
      <c r="B14" s="4" t="n"/>
      <c r="C14" s="4" t="n"/>
      <c r="D14" s="24" t="n"/>
      <c r="E14" s="4" t="n"/>
      <c r="F14" s="4" t="n"/>
    </row>
    <row r="15">
      <c r="A15" s="18" t="n"/>
      <c r="B15" s="4" t="n"/>
      <c r="C15" s="4" t="n"/>
      <c r="D15" s="24" t="n"/>
      <c r="E15" s="4" t="n"/>
      <c r="F15" s="4" t="n"/>
    </row>
    <row r="16">
      <c r="A16" s="18" t="n"/>
      <c r="B16" s="4" t="n"/>
      <c r="C16" s="4" t="n"/>
      <c r="D16" s="24" t="n"/>
      <c r="E16" s="4" t="n"/>
      <c r="F16" s="4" t="n"/>
    </row>
    <row r="17">
      <c r="A17" s="18" t="n"/>
      <c r="B17" s="4" t="n"/>
      <c r="C17" s="4" t="n"/>
      <c r="D17" s="24" t="n"/>
      <c r="E17" s="4" t="n"/>
      <c r="F17" s="4" t="n"/>
    </row>
    <row r="18">
      <c r="A18" s="18" t="n"/>
      <c r="B18" s="4" t="n"/>
      <c r="C18" s="4" t="n"/>
      <c r="D18" s="24" t="n"/>
      <c r="E18" s="4" t="n"/>
      <c r="F18" s="4" t="n"/>
    </row>
    <row r="19">
      <c r="A19" s="18" t="n"/>
      <c r="B19" s="4" t="n"/>
      <c r="C19" s="4" t="n"/>
      <c r="D19" s="24" t="n"/>
      <c r="E19" s="4" t="n"/>
      <c r="F19" s="4" t="n"/>
    </row>
  </sheetData>
  <mergeCells count="1">
    <mergeCell ref="A4:F6"/>
  </mergeCells>
  <pageMargins left="0.75" right="0.75" top="1" bottom="1" header="0.5" footer="0.5"/>
  <pageSetup orientation="landscape" fitToHeight="0" fitToWidth="1"/>
  <headerFooter>
    <oddHeader/>
    <oddFooter>&amp;LWorkpaper F-1&amp;RPage &amp;P of &amp;N</oddFooter>
    <evenHeader/>
    <evenFooter/>
    <firstHeader/>
    <firstFooter/>
  </headerFooter>
</worksheet>
</file>

<file path=xl/worksheets/sheet13.xml><?xml version="1.0" encoding="utf-8"?>
<worksheet xmlns="http://schemas.openxmlformats.org/spreadsheetml/2006/main">
  <sheetPr>
    <tabColor rgb="00246094"/>
    <outlinePr summaryBelow="1" summaryRight="1"/>
    <pageSetUpPr fitToPage="1"/>
  </sheetPr>
  <dimension ref="A1:G28"/>
  <sheetViews>
    <sheetView showGridLines="0" workbookViewId="0">
      <pane ySplit="8" topLeftCell="A9" activePane="bottomLeft" state="frozen"/>
      <selection pane="bottomLeft" activeCell="A1" sqref="A1"/>
    </sheetView>
  </sheetViews>
  <sheetFormatPr baseColWidth="8" defaultRowHeight="15"/>
  <cols>
    <col width="5" customWidth="1" min="1" max="1"/>
    <col width="9" customWidth="1" min="2" max="2"/>
    <col width="50" customWidth="1" min="3" max="3"/>
    <col width="50" customWidth="1" min="4" max="4"/>
    <col width="12" customWidth="1" min="5" max="5"/>
    <col width="11" customWidth="1" min="6" max="6"/>
    <col width="8" customWidth="1" min="7" max="7"/>
  </cols>
  <sheetData>
    <row r="1">
      <c r="A1" s="12">
        <f>IF(Index!$C$4="","[Case name: fill in on the Index]",Index!$C$4)</f>
        <v/>
      </c>
      <c r="F1" s="13" t="inlineStr">
        <is>
          <t>Prepared by / date</t>
        </is>
      </c>
      <c r="G1" s="4" t="n"/>
    </row>
    <row r="2" ht="22" customHeight="1">
      <c r="A2" s="14" t="inlineStr">
        <is>
          <t>R-1  Review notes</t>
        </is>
      </c>
      <c r="F2" s="13" t="inlineStr">
        <is>
          <t>Reviewed by / date</t>
        </is>
      </c>
      <c r="G2" s="4" t="n"/>
    </row>
    <row r="4">
      <c r="A4" s="15" t="inlineStr">
        <is>
          <t>The reviewer's questions and the preparer's answers. Every note is cleared before the file is final.</t>
        </is>
      </c>
    </row>
    <row r="5"/>
    <row r="6"/>
    <row r="8" ht="30" customHeight="1">
      <c r="A8" s="5" t="inlineStr">
        <is>
          <t>#</t>
        </is>
      </c>
      <c r="B8" s="5" t="inlineStr">
        <is>
          <t>WP ref</t>
        </is>
      </c>
      <c r="C8" s="5" t="inlineStr">
        <is>
          <t>Reviewer's note</t>
        </is>
      </c>
      <c r="D8" s="5" t="inlineStr">
        <is>
          <t>Preparer's response</t>
        </is>
      </c>
      <c r="E8" s="5" t="inlineStr">
        <is>
          <t>Cleared by</t>
        </is>
      </c>
      <c r="F8" s="5" t="inlineStr">
        <is>
          <t>Date</t>
        </is>
      </c>
      <c r="G8" s="5" t="inlineStr">
        <is>
          <t>Open?</t>
        </is>
      </c>
    </row>
    <row r="9">
      <c r="A9" s="18" t="n"/>
      <c r="B9" s="4" t="n"/>
      <c r="C9" s="4" t="n"/>
      <c r="D9" s="4" t="n"/>
      <c r="E9" s="4" t="n"/>
      <c r="F9" s="20" t="n"/>
      <c r="G9" s="4" t="n"/>
    </row>
    <row r="10">
      <c r="A10" s="18" t="n"/>
      <c r="B10" s="4" t="n"/>
      <c r="C10" s="4" t="n"/>
      <c r="D10" s="4" t="n"/>
      <c r="E10" s="4" t="n"/>
      <c r="F10" s="20" t="n"/>
      <c r="G10" s="4" t="n"/>
    </row>
    <row r="11">
      <c r="A11" s="18" t="n"/>
      <c r="B11" s="4" t="n"/>
      <c r="C11" s="4" t="n"/>
      <c r="D11" s="4" t="n"/>
      <c r="E11" s="4" t="n"/>
      <c r="F11" s="20" t="n"/>
      <c r="G11" s="4" t="n"/>
    </row>
    <row r="12">
      <c r="A12" s="18" t="n"/>
      <c r="B12" s="4" t="n"/>
      <c r="C12" s="4" t="n"/>
      <c r="D12" s="4" t="n"/>
      <c r="E12" s="4" t="n"/>
      <c r="F12" s="20" t="n"/>
      <c r="G12" s="4" t="n"/>
    </row>
    <row r="13">
      <c r="A13" s="18" t="n"/>
      <c r="B13" s="4" t="n"/>
      <c r="C13" s="4" t="n"/>
      <c r="D13" s="4" t="n"/>
      <c r="E13" s="4" t="n"/>
      <c r="F13" s="20" t="n"/>
      <c r="G13" s="4" t="n"/>
    </row>
    <row r="14">
      <c r="A14" s="18" t="n"/>
      <c r="B14" s="4" t="n"/>
      <c r="C14" s="4" t="n"/>
      <c r="D14" s="4" t="n"/>
      <c r="E14" s="4" t="n"/>
      <c r="F14" s="20" t="n"/>
      <c r="G14" s="4" t="n"/>
    </row>
    <row r="15">
      <c r="A15" s="18" t="n"/>
      <c r="B15" s="4" t="n"/>
      <c r="C15" s="4" t="n"/>
      <c r="D15" s="4" t="n"/>
      <c r="E15" s="4" t="n"/>
      <c r="F15" s="20" t="n"/>
      <c r="G15" s="4" t="n"/>
    </row>
    <row r="16">
      <c r="A16" s="18" t="n"/>
      <c r="B16" s="4" t="n"/>
      <c r="C16" s="4" t="n"/>
      <c r="D16" s="4" t="n"/>
      <c r="E16" s="4" t="n"/>
      <c r="F16" s="20" t="n"/>
      <c r="G16" s="4" t="n"/>
    </row>
    <row r="17">
      <c r="A17" s="18" t="n"/>
      <c r="B17" s="4" t="n"/>
      <c r="C17" s="4" t="n"/>
      <c r="D17" s="4" t="n"/>
      <c r="E17" s="4" t="n"/>
      <c r="F17" s="20" t="n"/>
      <c r="G17" s="4" t="n"/>
    </row>
    <row r="18">
      <c r="A18" s="18" t="n"/>
      <c r="B18" s="4" t="n"/>
      <c r="C18" s="4" t="n"/>
      <c r="D18" s="4" t="n"/>
      <c r="E18" s="4" t="n"/>
      <c r="F18" s="20" t="n"/>
      <c r="G18" s="4" t="n"/>
    </row>
    <row r="19">
      <c r="A19" s="18" t="n"/>
      <c r="B19" s="4" t="n"/>
      <c r="C19" s="4" t="n"/>
      <c r="D19" s="4" t="n"/>
      <c r="E19" s="4" t="n"/>
      <c r="F19" s="20" t="n"/>
      <c r="G19" s="4" t="n"/>
    </row>
    <row r="20">
      <c r="A20" s="18" t="n"/>
      <c r="B20" s="4" t="n"/>
      <c r="C20" s="4" t="n"/>
      <c r="D20" s="4" t="n"/>
      <c r="E20" s="4" t="n"/>
      <c r="F20" s="20" t="n"/>
      <c r="G20" s="4" t="n"/>
    </row>
    <row r="21">
      <c r="A21" s="18" t="n"/>
      <c r="B21" s="4" t="n"/>
      <c r="C21" s="4" t="n"/>
      <c r="D21" s="4" t="n"/>
      <c r="E21" s="4" t="n"/>
      <c r="F21" s="20" t="n"/>
      <c r="G21" s="4" t="n"/>
    </row>
    <row r="22">
      <c r="A22" s="18" t="n"/>
      <c r="B22" s="4" t="n"/>
      <c r="C22" s="4" t="n"/>
      <c r="D22" s="4" t="n"/>
      <c r="E22" s="4" t="n"/>
      <c r="F22" s="20" t="n"/>
      <c r="G22" s="4" t="n"/>
    </row>
    <row r="23">
      <c r="A23" s="18" t="n"/>
      <c r="B23" s="4" t="n"/>
      <c r="C23" s="4" t="n"/>
      <c r="D23" s="4" t="n"/>
      <c r="E23" s="4" t="n"/>
      <c r="F23" s="20" t="n"/>
      <c r="G23" s="4" t="n"/>
    </row>
    <row r="24">
      <c r="A24" s="18" t="n"/>
      <c r="B24" s="4" t="n"/>
      <c r="C24" s="4" t="n"/>
      <c r="D24" s="4" t="n"/>
      <c r="E24" s="4" t="n"/>
      <c r="F24" s="20" t="n"/>
      <c r="G24" s="4" t="n"/>
    </row>
    <row r="25">
      <c r="A25" s="18" t="n"/>
      <c r="B25" s="4" t="n"/>
      <c r="C25" s="4" t="n"/>
      <c r="D25" s="4" t="n"/>
      <c r="E25" s="4" t="n"/>
      <c r="F25" s="20" t="n"/>
      <c r="G25" s="4" t="n"/>
    </row>
    <row r="26">
      <c r="A26" s="18" t="n"/>
      <c r="B26" s="4" t="n"/>
      <c r="C26" s="4" t="n"/>
      <c r="D26" s="4" t="n"/>
      <c r="E26" s="4" t="n"/>
      <c r="F26" s="20" t="n"/>
      <c r="G26" s="4" t="n"/>
    </row>
    <row r="27">
      <c r="A27" s="18" t="n"/>
      <c r="B27" s="4" t="n"/>
      <c r="C27" s="4" t="n"/>
      <c r="D27" s="4" t="n"/>
      <c r="E27" s="4" t="n"/>
      <c r="F27" s="20" t="n"/>
      <c r="G27" s="4" t="n"/>
    </row>
    <row r="28">
      <c r="A28" s="18" t="n"/>
      <c r="B28" s="4" t="n"/>
      <c r="C28" s="4" t="n"/>
      <c r="D28" s="4" t="n"/>
      <c r="E28" s="4" t="n"/>
      <c r="F28" s="20" t="n"/>
      <c r="G28" s="4" t="n"/>
    </row>
  </sheetData>
  <mergeCells count="1">
    <mergeCell ref="A4:G6"/>
  </mergeCells>
  <dataValidations count="20">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 sqref="G9:G28" showDropDown="0" showInputMessage="0" showErrorMessage="0" allowBlank="1" type="list">
      <formula1>"Yes,No"</formula1>
    </dataValidation>
  </dataValidations>
  <pageMargins left="0.75" right="0.75" top="1" bottom="1" header="0.5" footer="0.5"/>
  <pageSetup orientation="landscape" fitToHeight="0" fitToWidth="1"/>
  <headerFooter>
    <oddHeader/>
    <oddFooter>&amp;LWorkpaper R-1&amp;RPage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Justice for Fraud Victims Project</dc:creator>
  <dc:title xmlns:dc="http://purl.org/dc/elements/1.1/">Forensic accounting workpaper template</dc:title>
  <dcterms:created xmlns:dcterms="http://purl.org/dc/terms/" xmlns:xsi="http://www.w3.org/2001/XMLSchema-instance" xsi:type="dcterms:W3CDTF">2026-10-30T11:37:59Z</dcterms:created>
  <dcterms:modified xmlns:dcterms="http://purl.org/dc/terms/" xmlns:xsi="http://www.w3.org/2001/XMLSchema-instance" xsi:type="dcterms:W3CDTF">2026-10-30T11:37:59Z</dcterms:modified>
</cp:coreProperties>
</file>